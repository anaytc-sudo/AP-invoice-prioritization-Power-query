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 Torres\Downloads\"/>
    </mc:Choice>
  </mc:AlternateContent>
  <xr:revisionPtr revIDLastSave="0" documentId="13_ncr:1_{8DFB62D7-DDAE-47E7-BF44-5FC51733E8D3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ummary" sheetId="1" r:id="rId1"/>
    <sheet name="Invoices Received (Raw)" sheetId="2" r:id="rId2"/>
    <sheet name="PO Issues Tracker" sheetId="3" r:id="rId3"/>
    <sheet name="Priority Invoices" sheetId="4" r:id="rId4"/>
  </sheets>
  <definedNames>
    <definedName name="_xlnm._FilterDatabase" localSheetId="1" hidden="1">'Invoices Received (Raw)'!$A$1:$P$61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61" i="2" l="1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B12" i="1"/>
  <c r="D6" i="1"/>
  <c r="C6" i="1"/>
  <c r="B6" i="1"/>
  <c r="E6" i="1" s="1"/>
  <c r="D5" i="1"/>
  <c r="D7" i="1" s="1"/>
  <c r="C5" i="1"/>
  <c r="C7" i="1" s="1"/>
  <c r="B5" i="1"/>
  <c r="B7" i="1" s="1"/>
  <c r="E5" i="1" l="1"/>
  <c r="E7" i="1" s="1"/>
</calcChain>
</file>

<file path=xl/sharedStrings.xml><?xml version="1.0" encoding="utf-8"?>
<sst xmlns="http://schemas.openxmlformats.org/spreadsheetml/2006/main" count="1327" uniqueCount="196">
  <si>
    <t>Invoice Summary by Age and Status (fictional data)</t>
  </si>
  <si>
    <t>Invoice Count</t>
  </si>
  <si>
    <t>Status</t>
  </si>
  <si>
    <t>0-7 days</t>
  </si>
  <si>
    <t>8-14 days</t>
  </si>
  <si>
    <t>15+ days</t>
  </si>
  <si>
    <t>Grand Total</t>
  </si>
  <si>
    <t>Incomplete</t>
  </si>
  <si>
    <t>Not validated</t>
  </si>
  <si>
    <t>Project Impact (illustrative case study figures)</t>
  </si>
  <si>
    <t>Manual review time (before)</t>
  </si>
  <si>
    <t>20 min/day</t>
  </si>
  <si>
    <t>Time with automation (after)</t>
  </si>
  <si>
    <t>5 min/day</t>
  </si>
  <si>
    <t>Time reduction</t>
  </si>
  <si>
    <t>Source.Name</t>
  </si>
  <si>
    <t>Invoice Number</t>
  </si>
  <si>
    <t>Supplier</t>
  </si>
  <si>
    <t>Supplier Site</t>
  </si>
  <si>
    <t>Identifying PO</t>
  </si>
  <si>
    <t>Creation Date</t>
  </si>
  <si>
    <t>Validation Status</t>
  </si>
  <si>
    <t>Invoice Date</t>
  </si>
  <si>
    <t>Assignee</t>
  </si>
  <si>
    <t>Business Unit</t>
  </si>
  <si>
    <t>Legal Entity</t>
  </si>
  <si>
    <t>First-Party Taxpayer ID</t>
  </si>
  <si>
    <t>Routing Attribute 1</t>
  </si>
  <si>
    <t>Amount</t>
  </si>
  <si>
    <t>Currency</t>
  </si>
  <si>
    <t>Excluded by PO Tracker?</t>
  </si>
  <si>
    <t>15+.xlsx</t>
  </si>
  <si>
    <t>INV-42406</t>
  </si>
  <si>
    <t>Lighthouse Metals Supply</t>
  </si>
  <si>
    <t>Fremont</t>
  </si>
  <si>
    <t>PO73709724</t>
  </si>
  <si>
    <t>00-0000000</t>
  </si>
  <si>
    <t>apteam.us@fictionalmfg.example</t>
  </si>
  <si>
    <t>USD</t>
  </si>
  <si>
    <t>INV-64921</t>
  </si>
  <si>
    <t>PO62343121</t>
  </si>
  <si>
    <t>INV-12560</t>
  </si>
  <si>
    <t>Golden Gate Packaging Sdn Bhd</t>
  </si>
  <si>
    <t>Shah Alam</t>
  </si>
  <si>
    <t>PO88393811</t>
  </si>
  <si>
    <t>000000000000</t>
  </si>
  <si>
    <t>apteam.my@fictionalmfg.example</t>
  </si>
  <si>
    <t>MYR</t>
  </si>
  <si>
    <t>INV-51904</t>
  </si>
  <si>
    <t>Harbor Logistics Pte Ltd</t>
  </si>
  <si>
    <t>Singapore</t>
  </si>
  <si>
    <t>PO41473195</t>
  </si>
  <si>
    <t>000000000X</t>
  </si>
  <si>
    <t>apteam.sg@fictionalmfg.example</t>
  </si>
  <si>
    <t>SGD</t>
  </si>
  <si>
    <t>INV-63424</t>
  </si>
  <si>
    <t>Crescent Precision Sdn Bhd</t>
  </si>
  <si>
    <t>Puchong</t>
  </si>
  <si>
    <t>PO38716269</t>
  </si>
  <si>
    <t>8-14.xlsx</t>
  </si>
  <si>
    <t>INV-65108</t>
  </si>
  <si>
    <t>PO84411983</t>
  </si>
  <si>
    <t>INV-10726</t>
  </si>
  <si>
    <t>PO29806690</t>
  </si>
  <si>
    <t>INV-80575</t>
  </si>
  <si>
    <t>Northwind Machining Sdn Bhd</t>
  </si>
  <si>
    <t>Kapar</t>
  </si>
  <si>
    <t>PO10226999</t>
  </si>
  <si>
    <t>INV-37549</t>
  </si>
  <si>
    <t>Pioneer Instruments Inc</t>
  </si>
  <si>
    <t>Chicago</t>
  </si>
  <si>
    <t>PO10054484</t>
  </si>
  <si>
    <t>INV-39444</t>
  </si>
  <si>
    <t>PO41523529</t>
  </si>
  <si>
    <t>INV-26334</t>
  </si>
  <si>
    <t>Summit Valve &amp; Fittings Inc</t>
  </si>
  <si>
    <t>Austin</t>
  </si>
  <si>
    <t>PO93638503</t>
  </si>
  <si>
    <t>INV-32241</t>
  </si>
  <si>
    <t>PO73509974</t>
  </si>
  <si>
    <t>INV-42662</t>
  </si>
  <si>
    <t>PO72350830</t>
  </si>
  <si>
    <t>INV-68008</t>
  </si>
  <si>
    <t>PO89920257</t>
  </si>
  <si>
    <t>INV-92544</t>
  </si>
  <si>
    <t>PO19774839</t>
  </si>
  <si>
    <t>0-7.xlsx</t>
  </si>
  <si>
    <t>INV-62772</t>
  </si>
  <si>
    <t>PO96728778</t>
  </si>
  <si>
    <t>INV-22224</t>
  </si>
  <si>
    <t>PO82556484</t>
  </si>
  <si>
    <t>INV-73788</t>
  </si>
  <si>
    <t>PO84593961</t>
  </si>
  <si>
    <t>INV-20500</t>
  </si>
  <si>
    <t>Acme Precision Components Ltd</t>
  </si>
  <si>
    <t>Riverside</t>
  </si>
  <si>
    <t>PO17634247</t>
  </si>
  <si>
    <t>INV-11504</t>
  </si>
  <si>
    <t>PO43744231</t>
  </si>
  <si>
    <t>INV-10282</t>
  </si>
  <si>
    <t>PO17869910</t>
  </si>
  <si>
    <t>INV-51180</t>
  </si>
  <si>
    <t>PO44999379</t>
  </si>
  <si>
    <t>INV-19508</t>
  </si>
  <si>
    <t>PO52436584</t>
  </si>
  <si>
    <t>INV-44237</t>
  </si>
  <si>
    <t>PO13704481</t>
  </si>
  <si>
    <t>INV-45093</t>
  </si>
  <si>
    <t>INV-44718</t>
  </si>
  <si>
    <t>PO96282117</t>
  </si>
  <si>
    <t>INV-44522</t>
  </si>
  <si>
    <t>PO10435578</t>
  </si>
  <si>
    <t>INV-41571</t>
  </si>
  <si>
    <t>Blue Ridge Fabrication Pte Ltd</t>
  </si>
  <si>
    <t>PO51273847</t>
  </si>
  <si>
    <t>INV-54313</t>
  </si>
  <si>
    <t>PO43273328</t>
  </si>
  <si>
    <t>INV-15229</t>
  </si>
  <si>
    <t>PO15614174</t>
  </si>
  <si>
    <t>INV-65302</t>
  </si>
  <si>
    <t>PO83197857</t>
  </si>
  <si>
    <t>INV-22676</t>
  </si>
  <si>
    <t>PO23718431</t>
  </si>
  <si>
    <t>INV-48427</t>
  </si>
  <si>
    <t>PO60806024</t>
  </si>
  <si>
    <t>INV-97841</t>
  </si>
  <si>
    <t>PO59684848</t>
  </si>
  <si>
    <t>INV-28131</t>
  </si>
  <si>
    <t>PO63606628</t>
  </si>
  <si>
    <t>INV-51104</t>
  </si>
  <si>
    <t>PO82772208</t>
  </si>
  <si>
    <t>INV-95717</t>
  </si>
  <si>
    <t>PO50603163</t>
  </si>
  <si>
    <t>INV-24029</t>
  </si>
  <si>
    <t>PO45496015</t>
  </si>
  <si>
    <t>INV-44600</t>
  </si>
  <si>
    <t>PO37326368</t>
  </si>
  <si>
    <t>INV-53719</t>
  </si>
  <si>
    <t>PO47135391</t>
  </si>
  <si>
    <t>INV-30926</t>
  </si>
  <si>
    <t>PO10872248</t>
  </si>
  <si>
    <t>INV-40512</t>
  </si>
  <si>
    <t>PO48840994</t>
  </si>
  <si>
    <t>INV-14117</t>
  </si>
  <si>
    <t>PO40728046</t>
  </si>
  <si>
    <t>INV-84847</t>
  </si>
  <si>
    <t>PO27758595</t>
  </si>
  <si>
    <t>INV-56438</t>
  </si>
  <si>
    <t>PO23009833</t>
  </si>
  <si>
    <t>INV-70637</t>
  </si>
  <si>
    <t>PO66623995</t>
  </si>
  <si>
    <t>INV-30257</t>
  </si>
  <si>
    <t>PO64543049</t>
  </si>
  <si>
    <t>INV-19099</t>
  </si>
  <si>
    <t>PO54058573</t>
  </si>
  <si>
    <t>INV-93886</t>
  </si>
  <si>
    <t>PO60929647</t>
  </si>
  <si>
    <t>INV-36365</t>
  </si>
  <si>
    <t>PO38427073</t>
  </si>
  <si>
    <t>INV-19862</t>
  </si>
  <si>
    <t>PO85283645</t>
  </si>
  <si>
    <t>INV-63964</t>
  </si>
  <si>
    <t>PO54585178</t>
  </si>
  <si>
    <t>INV-70332</t>
  </si>
  <si>
    <t>PO73174945</t>
  </si>
  <si>
    <t>INV-95181</t>
  </si>
  <si>
    <t>PO85329037</t>
  </si>
  <si>
    <t>INV-65333</t>
  </si>
  <si>
    <t>PO31472420</t>
  </si>
  <si>
    <t>INV-59009</t>
  </si>
  <si>
    <t>PO91734598</t>
  </si>
  <si>
    <t>INV-26483</t>
  </si>
  <si>
    <t>INV-87924</t>
  </si>
  <si>
    <t>PO86460539</t>
  </si>
  <si>
    <t>INV-19016</t>
  </si>
  <si>
    <t>PO27778019</t>
  </si>
  <si>
    <t>INV-77033</t>
  </si>
  <si>
    <t>PO52101056</t>
  </si>
  <si>
    <t>Issue Note</t>
  </si>
  <si>
    <t>Date Flagged</t>
  </si>
  <si>
    <t>PO does not match invoice amount - pending correction with buyer</t>
  </si>
  <si>
    <t>No associated PO - requested correct reference from supplier</t>
  </si>
  <si>
    <t>PO closed / partially received - requires buyer review</t>
  </si>
  <si>
    <t>Price discrepancy vs. PO - escalated to purchasing</t>
  </si>
  <si>
    <t>PO cancelled - invoice pending dispute with supplier</t>
  </si>
  <si>
    <t>California</t>
  </si>
  <si>
    <t>Indonesia</t>
  </si>
  <si>
    <t>New York</t>
  </si>
  <si>
    <t>Texas</t>
  </si>
  <si>
    <t>Arizona</t>
  </si>
  <si>
    <t>Delaware</t>
  </si>
  <si>
    <t>Georgia</t>
  </si>
  <si>
    <t>Kansas</t>
  </si>
  <si>
    <t>Fictional Manufacturing XYZ Inc.</t>
  </si>
  <si>
    <t>Fictional Manufacturing XYZ</t>
  </si>
  <si>
    <t>Fictional Manufacturing XYZ ABC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</si>
</sst>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9" fontId="4" fillId="0" borderId="0" xfId="0" applyNumberFormat="1" applyFont="1"/>
    <xf numFmtId="0" fontId="3" fillId="2" borderId="0" xfId="0" applyFont="1" applyFill="1" applyAlignment="1">
      <alignment horizontal="center"/>
    </xf>
    <xf numFmtId="164" fontId="4" fillId="0" borderId="0" xfId="0" applyNumberFormat="1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>
      <selection activeCell="A15" sqref="A15"/>
    </sheetView>
  </sheetViews>
  <sheetFormatPr defaultColWidth="8.6640625" defaultRowHeight="14.4" x14ac:dyDescent="0.3"/>
  <cols>
    <col min="1" max="1" width="34" customWidth="1"/>
    <col min="2" max="5" width="16" customWidth="1"/>
  </cols>
  <sheetData>
    <row r="1" spans="1:5" ht="15.6" x14ac:dyDescent="0.3">
      <c r="A1" s="1" t="s">
        <v>0</v>
      </c>
    </row>
    <row r="3" spans="1:5" x14ac:dyDescent="0.3">
      <c r="A3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4">
        <f>COUNTIFS('Priority Invoices'!$A:$A,"0-7.xlsx",'Priority Invoices'!$G:$G,$A5)</f>
        <v>22</v>
      </c>
      <c r="C5" s="4">
        <f>COUNTIFS('Priority Invoices'!$A:$A,"8-14.xlsx",'Priority Invoices'!$G:$G,$A5)</f>
        <v>4</v>
      </c>
      <c r="D5" s="4">
        <f>COUNTIFS('Priority Invoices'!$A:$A,"15+.xlsx",'Priority Invoices'!$G:$G,$A5)</f>
        <v>2</v>
      </c>
      <c r="E5" s="4">
        <f>SUM(B5:D5)</f>
        <v>28</v>
      </c>
    </row>
    <row r="6" spans="1:5" x14ac:dyDescent="0.3">
      <c r="A6" s="4" t="s">
        <v>8</v>
      </c>
      <c r="B6" s="4">
        <f>COUNTIFS('Priority Invoices'!$A:$A,"0-7.xlsx",'Priority Invoices'!$G:$G,$A6)</f>
        <v>21</v>
      </c>
      <c r="C6" s="4">
        <f>COUNTIFS('Priority Invoices'!$A:$A,"8-14.xlsx",'Priority Invoices'!$G:$G,$A6)</f>
        <v>4</v>
      </c>
      <c r="D6" s="4">
        <f>COUNTIFS('Priority Invoices'!$A:$A,"15+.xlsx",'Priority Invoices'!$G:$G,$A6)</f>
        <v>2</v>
      </c>
      <c r="E6" s="4">
        <f>SUM(B6:D6)</f>
        <v>27</v>
      </c>
    </row>
    <row r="7" spans="1:5" x14ac:dyDescent="0.3">
      <c r="A7" s="2" t="s">
        <v>6</v>
      </c>
      <c r="B7" s="2">
        <f>SUM(B5:B6)</f>
        <v>43</v>
      </c>
      <c r="C7" s="2">
        <f>SUM(C5:C6)</f>
        <v>8</v>
      </c>
      <c r="D7" s="2">
        <f>SUM(D5:D6)</f>
        <v>4</v>
      </c>
      <c r="E7" s="2">
        <f>SUM(E5:E6)</f>
        <v>55</v>
      </c>
    </row>
    <row r="9" spans="1:5" x14ac:dyDescent="0.3">
      <c r="A9" s="2" t="s">
        <v>9</v>
      </c>
    </row>
    <row r="10" spans="1:5" x14ac:dyDescent="0.3">
      <c r="A10" s="4" t="s">
        <v>10</v>
      </c>
      <c r="B10" s="4" t="s">
        <v>11</v>
      </c>
    </row>
    <row r="11" spans="1:5" x14ac:dyDescent="0.3">
      <c r="A11" s="4" t="s">
        <v>12</v>
      </c>
      <c r="B11" s="4" t="s">
        <v>13</v>
      </c>
    </row>
    <row r="12" spans="1:5" x14ac:dyDescent="0.3">
      <c r="A12" s="4" t="s">
        <v>14</v>
      </c>
      <c r="B12" s="5">
        <f>1-5/20</f>
        <v>0.75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61"/>
  <sheetViews>
    <sheetView topLeftCell="C1" zoomScaleNormal="100" workbookViewId="0">
      <pane ySplit="1" topLeftCell="A2" activePane="bottomLeft" state="frozen"/>
      <selection pane="bottomLeft" activeCell="P1" sqref="P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30" customWidth="1"/>
    <col min="4" max="4" width="16" customWidth="1"/>
    <col min="5" max="6" width="14" customWidth="1"/>
    <col min="7" max="7" width="15" customWidth="1"/>
    <col min="8" max="8" width="14" customWidth="1"/>
    <col min="9" max="9" width="26" customWidth="1"/>
    <col min="10" max="10" width="25.88671875" customWidth="1"/>
    <col min="11" max="11" width="32" customWidth="1"/>
    <col min="12" max="12" width="20" customWidth="1"/>
    <col min="13" max="13" width="30" customWidth="1"/>
    <col min="14" max="14" width="12" customWidth="1"/>
    <col min="15" max="15" width="10" customWidth="1"/>
    <col min="16" max="16" width="22" customWidth="1"/>
  </cols>
  <sheetData>
    <row r="1" spans="1:16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3" t="s">
        <v>30</v>
      </c>
    </row>
    <row r="2" spans="1:16" x14ac:dyDescent="0.3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7">
        <v>46144</v>
      </c>
      <c r="G2" s="4" t="s">
        <v>8</v>
      </c>
      <c r="H2" s="7">
        <v>46141</v>
      </c>
      <c r="I2" s="4"/>
      <c r="J2" s="4" t="s">
        <v>185</v>
      </c>
      <c r="K2" s="4" t="s">
        <v>193</v>
      </c>
      <c r="L2" s="4" t="s">
        <v>36</v>
      </c>
      <c r="M2" s="4" t="s">
        <v>37</v>
      </c>
      <c r="N2" s="8">
        <v>20264.14</v>
      </c>
      <c r="O2" s="4" t="s">
        <v>38</v>
      </c>
      <c r="P2" s="4" t="str">
        <f>IF(COUNTIF('PO Issues Tracker'!$A:$A,B2)&gt;0,"Yes - excluded","")</f>
        <v/>
      </c>
    </row>
    <row r="3" spans="1:16" x14ac:dyDescent="0.3">
      <c r="A3" s="4" t="s">
        <v>31</v>
      </c>
      <c r="B3" s="4" t="s">
        <v>39</v>
      </c>
      <c r="C3" s="4" t="s">
        <v>33</v>
      </c>
      <c r="D3" s="4" t="s">
        <v>34</v>
      </c>
      <c r="E3" s="4" t="s">
        <v>40</v>
      </c>
      <c r="F3" s="7">
        <v>46153</v>
      </c>
      <c r="G3" s="4" t="s">
        <v>8</v>
      </c>
      <c r="H3" s="7">
        <v>46153</v>
      </c>
      <c r="I3" s="4"/>
      <c r="J3" s="4" t="s">
        <v>185</v>
      </c>
      <c r="K3" s="4" t="s">
        <v>193</v>
      </c>
      <c r="L3" s="4" t="s">
        <v>36</v>
      </c>
      <c r="M3" s="4" t="s">
        <v>37</v>
      </c>
      <c r="N3" s="8">
        <v>38408.089999999997</v>
      </c>
      <c r="O3" s="4" t="s">
        <v>38</v>
      </c>
      <c r="P3" s="4" t="str">
        <f>IF(COUNTIF('PO Issues Tracker'!$A:$A,B3)&gt;0,"Yes - excluded","")</f>
        <v/>
      </c>
    </row>
    <row r="4" spans="1:16" x14ac:dyDescent="0.3">
      <c r="A4" s="4" t="s">
        <v>31</v>
      </c>
      <c r="B4" s="4" t="s">
        <v>41</v>
      </c>
      <c r="C4" s="4" t="s">
        <v>42</v>
      </c>
      <c r="D4" s="4" t="s">
        <v>43</v>
      </c>
      <c r="E4" s="4" t="s">
        <v>44</v>
      </c>
      <c r="F4" s="7">
        <v>46161</v>
      </c>
      <c r="G4" s="4" t="s">
        <v>7</v>
      </c>
      <c r="H4" s="7">
        <v>46161</v>
      </c>
      <c r="I4" s="4"/>
      <c r="J4" s="4" t="s">
        <v>186</v>
      </c>
      <c r="K4" s="4" t="s">
        <v>194</v>
      </c>
      <c r="L4" s="4" t="s">
        <v>45</v>
      </c>
      <c r="M4" s="4" t="s">
        <v>46</v>
      </c>
      <c r="N4" s="8">
        <v>42573.87</v>
      </c>
      <c r="O4" s="4" t="s">
        <v>47</v>
      </c>
      <c r="P4" s="4" t="str">
        <f>IF(COUNTIF('PO Issues Tracker'!$A:$A,B4)&gt;0,"Yes - excluded","")</f>
        <v/>
      </c>
    </row>
    <row r="5" spans="1:16" x14ac:dyDescent="0.3">
      <c r="A5" s="4" t="s">
        <v>31</v>
      </c>
      <c r="B5" s="4" t="s">
        <v>48</v>
      </c>
      <c r="C5" s="4" t="s">
        <v>49</v>
      </c>
      <c r="D5" s="4" t="s">
        <v>50</v>
      </c>
      <c r="E5" s="4" t="s">
        <v>51</v>
      </c>
      <c r="F5" s="7">
        <v>46184</v>
      </c>
      <c r="G5" s="4" t="s">
        <v>7</v>
      </c>
      <c r="H5" s="7">
        <v>46182</v>
      </c>
      <c r="I5" s="4"/>
      <c r="J5" s="4" t="s">
        <v>187</v>
      </c>
      <c r="K5" s="4" t="s">
        <v>195</v>
      </c>
      <c r="L5" s="4" t="s">
        <v>52</v>
      </c>
      <c r="M5" s="4" t="s">
        <v>53</v>
      </c>
      <c r="N5" s="8">
        <v>12241.75</v>
      </c>
      <c r="O5" s="4" t="s">
        <v>54</v>
      </c>
      <c r="P5" s="4" t="str">
        <f>IF(COUNTIF('PO Issues Tracker'!$A:$A,B5)&gt;0,"Yes - excluded","")</f>
        <v/>
      </c>
    </row>
    <row r="6" spans="1:16" hidden="1" x14ac:dyDescent="0.3">
      <c r="A6" s="4" t="s">
        <v>31</v>
      </c>
      <c r="B6" s="4" t="s">
        <v>55</v>
      </c>
      <c r="C6" s="4" t="s">
        <v>56</v>
      </c>
      <c r="D6" s="4" t="s">
        <v>57</v>
      </c>
      <c r="E6" s="4" t="s">
        <v>58</v>
      </c>
      <c r="F6" s="7">
        <v>46197</v>
      </c>
      <c r="G6" s="4" t="s">
        <v>7</v>
      </c>
      <c r="H6" s="7">
        <v>46196</v>
      </c>
      <c r="I6" s="4"/>
      <c r="J6" s="4" t="s">
        <v>188</v>
      </c>
      <c r="K6" s="4" t="s">
        <v>194</v>
      </c>
      <c r="L6" s="4" t="s">
        <v>45</v>
      </c>
      <c r="M6" s="4" t="s">
        <v>46</v>
      </c>
      <c r="N6" s="8">
        <v>2909.01</v>
      </c>
      <c r="O6" s="4" t="s">
        <v>47</v>
      </c>
      <c r="P6" s="4" t="str">
        <f>IF(COUNTIF('PO Issues Tracker'!$A:$A,B6)&gt;0,"Yes - excluded","")</f>
        <v>Yes - excluded</v>
      </c>
    </row>
    <row r="7" spans="1:16" hidden="1" x14ac:dyDescent="0.3">
      <c r="A7" s="4" t="s">
        <v>59</v>
      </c>
      <c r="B7" s="4" t="s">
        <v>60</v>
      </c>
      <c r="C7" s="4" t="s">
        <v>49</v>
      </c>
      <c r="D7" s="4" t="s">
        <v>50</v>
      </c>
      <c r="E7" s="4" t="s">
        <v>61</v>
      </c>
      <c r="F7" s="7">
        <v>46216</v>
      </c>
      <c r="G7" s="4" t="s">
        <v>7</v>
      </c>
      <c r="H7" s="7">
        <v>46213</v>
      </c>
      <c r="I7" s="4"/>
      <c r="J7" s="4" t="s">
        <v>187</v>
      </c>
      <c r="K7" s="4" t="s">
        <v>195</v>
      </c>
      <c r="L7" s="4" t="s">
        <v>52</v>
      </c>
      <c r="M7" s="4" t="s">
        <v>53</v>
      </c>
      <c r="N7" s="8">
        <v>5745.41</v>
      </c>
      <c r="O7" s="4" t="s">
        <v>54</v>
      </c>
      <c r="P7" s="4" t="str">
        <f>IF(COUNTIF('PO Issues Tracker'!$A:$A,B7)&gt;0,"Yes - excluded","")</f>
        <v>Yes - excluded</v>
      </c>
    </row>
    <row r="8" spans="1:16" x14ac:dyDescent="0.3">
      <c r="A8" s="4" t="s">
        <v>59</v>
      </c>
      <c r="B8" s="4" t="s">
        <v>62</v>
      </c>
      <c r="C8" s="4" t="s">
        <v>33</v>
      </c>
      <c r="D8" s="4" t="s">
        <v>34</v>
      </c>
      <c r="E8" s="4" t="s">
        <v>63</v>
      </c>
      <c r="F8" s="7">
        <v>46216</v>
      </c>
      <c r="G8" s="4" t="s">
        <v>7</v>
      </c>
      <c r="H8" s="7">
        <v>46211</v>
      </c>
      <c r="I8" s="4"/>
      <c r="J8" s="4" t="s">
        <v>189</v>
      </c>
      <c r="K8" s="4" t="s">
        <v>193</v>
      </c>
      <c r="L8" s="4" t="s">
        <v>36</v>
      </c>
      <c r="M8" s="4" t="s">
        <v>37</v>
      </c>
      <c r="N8" s="8">
        <v>29529.49</v>
      </c>
      <c r="O8" s="4" t="s">
        <v>38</v>
      </c>
      <c r="P8" s="4" t="str">
        <f>IF(COUNTIF('PO Issues Tracker'!$A:$A,B8)&gt;0,"Yes - excluded","")</f>
        <v/>
      </c>
    </row>
    <row r="9" spans="1:16" x14ac:dyDescent="0.3">
      <c r="A9" s="4" t="s">
        <v>59</v>
      </c>
      <c r="B9" s="4" t="s">
        <v>64</v>
      </c>
      <c r="C9" s="4" t="s">
        <v>65</v>
      </c>
      <c r="D9" s="4" t="s">
        <v>66</v>
      </c>
      <c r="E9" s="4" t="s">
        <v>67</v>
      </c>
      <c r="F9" s="7">
        <v>46217</v>
      </c>
      <c r="G9" s="4" t="s">
        <v>7</v>
      </c>
      <c r="H9" s="7">
        <v>46216</v>
      </c>
      <c r="I9" s="4"/>
      <c r="J9" s="4" t="s">
        <v>186</v>
      </c>
      <c r="K9" s="4" t="s">
        <v>194</v>
      </c>
      <c r="L9" s="4" t="s">
        <v>45</v>
      </c>
      <c r="M9" s="4" t="s">
        <v>46</v>
      </c>
      <c r="N9" s="8">
        <v>23406.02</v>
      </c>
      <c r="O9" s="4" t="s">
        <v>47</v>
      </c>
      <c r="P9" s="4" t="str">
        <f>IF(COUNTIF('PO Issues Tracker'!$A:$A,B9)&gt;0,"Yes - excluded","")</f>
        <v/>
      </c>
    </row>
    <row r="10" spans="1:16" x14ac:dyDescent="0.3">
      <c r="A10" s="4" t="s">
        <v>59</v>
      </c>
      <c r="B10" s="4" t="s">
        <v>68</v>
      </c>
      <c r="C10" s="4" t="s">
        <v>69</v>
      </c>
      <c r="D10" s="4" t="s">
        <v>70</v>
      </c>
      <c r="E10" s="4" t="s">
        <v>71</v>
      </c>
      <c r="F10" s="7">
        <v>46217</v>
      </c>
      <c r="G10" s="4" t="s">
        <v>7</v>
      </c>
      <c r="H10" s="7">
        <v>46213</v>
      </c>
      <c r="I10" s="4"/>
      <c r="J10" s="4" t="s">
        <v>189</v>
      </c>
      <c r="K10" s="4" t="s">
        <v>193</v>
      </c>
      <c r="L10" s="4" t="s">
        <v>36</v>
      </c>
      <c r="M10" s="4" t="s">
        <v>37</v>
      </c>
      <c r="N10" s="8">
        <v>13688.3</v>
      </c>
      <c r="O10" s="4" t="s">
        <v>38</v>
      </c>
      <c r="P10" s="4" t="str">
        <f>IF(COUNTIF('PO Issues Tracker'!$A:$A,B10)&gt;0,"Yes - excluded","")</f>
        <v/>
      </c>
    </row>
    <row r="11" spans="1:16" x14ac:dyDescent="0.3">
      <c r="A11" s="4" t="s">
        <v>59</v>
      </c>
      <c r="B11" s="4" t="s">
        <v>72</v>
      </c>
      <c r="C11" s="4" t="s">
        <v>65</v>
      </c>
      <c r="D11" s="4" t="s">
        <v>66</v>
      </c>
      <c r="E11" s="4" t="s">
        <v>73</v>
      </c>
      <c r="F11" s="7">
        <v>46217</v>
      </c>
      <c r="G11" s="4" t="s">
        <v>8</v>
      </c>
      <c r="H11" s="7">
        <v>46212</v>
      </c>
      <c r="I11" s="4"/>
      <c r="J11" s="4" t="s">
        <v>186</v>
      </c>
      <c r="K11" s="4" t="s">
        <v>194</v>
      </c>
      <c r="L11" s="4" t="s">
        <v>45</v>
      </c>
      <c r="M11" s="4" t="s">
        <v>46</v>
      </c>
      <c r="N11" s="8">
        <v>30282.35</v>
      </c>
      <c r="O11" s="4" t="s">
        <v>47</v>
      </c>
      <c r="P11" s="4" t="str">
        <f>IF(COUNTIF('PO Issues Tracker'!$A:$A,B11)&gt;0,"Yes - excluded","")</f>
        <v/>
      </c>
    </row>
    <row r="12" spans="1:16" x14ac:dyDescent="0.3">
      <c r="A12" s="4" t="s">
        <v>59</v>
      </c>
      <c r="B12" s="4" t="s">
        <v>74</v>
      </c>
      <c r="C12" s="4" t="s">
        <v>75</v>
      </c>
      <c r="D12" s="4" t="s">
        <v>76</v>
      </c>
      <c r="E12" s="4" t="s">
        <v>77</v>
      </c>
      <c r="F12" s="7">
        <v>46218</v>
      </c>
      <c r="G12" s="4" t="s">
        <v>8</v>
      </c>
      <c r="H12" s="7">
        <v>46218</v>
      </c>
      <c r="I12" s="4"/>
      <c r="J12" s="4" t="s">
        <v>190</v>
      </c>
      <c r="K12" s="4" t="s">
        <v>193</v>
      </c>
      <c r="L12" s="4" t="s">
        <v>36</v>
      </c>
      <c r="M12" s="4" t="s">
        <v>37</v>
      </c>
      <c r="N12" s="8">
        <v>14139.93</v>
      </c>
      <c r="O12" s="4" t="s">
        <v>38</v>
      </c>
      <c r="P12" s="4" t="str">
        <f>IF(COUNTIF('PO Issues Tracker'!$A:$A,B12)&gt;0,"Yes - excluded","")</f>
        <v/>
      </c>
    </row>
    <row r="13" spans="1:16" x14ac:dyDescent="0.3">
      <c r="A13" s="4" t="s">
        <v>59</v>
      </c>
      <c r="B13" s="4" t="s">
        <v>78</v>
      </c>
      <c r="C13" s="4" t="s">
        <v>69</v>
      </c>
      <c r="D13" s="4" t="s">
        <v>70</v>
      </c>
      <c r="E13" s="4" t="s">
        <v>79</v>
      </c>
      <c r="F13" s="7">
        <v>46218</v>
      </c>
      <c r="G13" s="4" t="s">
        <v>7</v>
      </c>
      <c r="H13" s="7">
        <v>46215</v>
      </c>
      <c r="I13" s="4"/>
      <c r="J13" s="4" t="s">
        <v>190</v>
      </c>
      <c r="K13" s="4" t="s">
        <v>193</v>
      </c>
      <c r="L13" s="4" t="s">
        <v>36</v>
      </c>
      <c r="M13" s="4" t="s">
        <v>37</v>
      </c>
      <c r="N13" s="8">
        <v>35722.22</v>
      </c>
      <c r="O13" s="4" t="s">
        <v>38</v>
      </c>
      <c r="P13" s="4" t="str">
        <f>IF(COUNTIF('PO Issues Tracker'!$A:$A,B13)&gt;0,"Yes - excluded","")</f>
        <v/>
      </c>
    </row>
    <row r="14" spans="1:16" x14ac:dyDescent="0.3">
      <c r="A14" s="4" t="s">
        <v>59</v>
      </c>
      <c r="B14" s="4" t="s">
        <v>80</v>
      </c>
      <c r="C14" s="4" t="s">
        <v>65</v>
      </c>
      <c r="D14" s="4" t="s">
        <v>66</v>
      </c>
      <c r="E14" s="4" t="s">
        <v>81</v>
      </c>
      <c r="F14" s="7">
        <v>46220</v>
      </c>
      <c r="G14" s="4" t="s">
        <v>8</v>
      </c>
      <c r="H14" s="7">
        <v>46219</v>
      </c>
      <c r="I14" s="4"/>
      <c r="J14" s="4" t="s">
        <v>186</v>
      </c>
      <c r="K14" s="4" t="s">
        <v>194</v>
      </c>
      <c r="L14" s="4" t="s">
        <v>45</v>
      </c>
      <c r="M14" s="4" t="s">
        <v>46</v>
      </c>
      <c r="N14" s="8">
        <v>2278.8200000000002</v>
      </c>
      <c r="O14" s="4" t="s">
        <v>47</v>
      </c>
      <c r="P14" s="4" t="str">
        <f>IF(COUNTIF('PO Issues Tracker'!$A:$A,B14)&gt;0,"Yes - excluded","")</f>
        <v/>
      </c>
    </row>
    <row r="15" spans="1:16" x14ac:dyDescent="0.3">
      <c r="A15" s="4" t="s">
        <v>59</v>
      </c>
      <c r="B15" s="4" t="s">
        <v>82</v>
      </c>
      <c r="C15" s="4" t="s">
        <v>65</v>
      </c>
      <c r="D15" s="4" t="s">
        <v>66</v>
      </c>
      <c r="E15" s="4" t="s">
        <v>83</v>
      </c>
      <c r="F15" s="7">
        <v>46220</v>
      </c>
      <c r="G15" s="4" t="s">
        <v>8</v>
      </c>
      <c r="H15" s="7">
        <v>46217</v>
      </c>
      <c r="I15" s="4"/>
      <c r="J15" s="4" t="s">
        <v>186</v>
      </c>
      <c r="K15" s="4" t="s">
        <v>194</v>
      </c>
      <c r="L15" s="4" t="s">
        <v>45</v>
      </c>
      <c r="M15" s="4" t="s">
        <v>46</v>
      </c>
      <c r="N15" s="8">
        <v>14292.06</v>
      </c>
      <c r="O15" s="4" t="s">
        <v>47</v>
      </c>
      <c r="P15" s="4" t="str">
        <f>IF(COUNTIF('PO Issues Tracker'!$A:$A,B15)&gt;0,"Yes - excluded","")</f>
        <v/>
      </c>
    </row>
    <row r="16" spans="1:16" hidden="1" x14ac:dyDescent="0.3">
      <c r="A16" s="4" t="s">
        <v>59</v>
      </c>
      <c r="B16" s="4" t="s">
        <v>84</v>
      </c>
      <c r="C16" s="4" t="s">
        <v>75</v>
      </c>
      <c r="D16" s="4" t="s">
        <v>76</v>
      </c>
      <c r="E16" s="4" t="s">
        <v>85</v>
      </c>
      <c r="F16" s="7">
        <v>46221</v>
      </c>
      <c r="G16" s="4" t="s">
        <v>7</v>
      </c>
      <c r="H16" s="7">
        <v>46221</v>
      </c>
      <c r="I16" s="4"/>
      <c r="J16" s="4" t="s">
        <v>189</v>
      </c>
      <c r="K16" s="4" t="s">
        <v>193</v>
      </c>
      <c r="L16" s="4" t="s">
        <v>36</v>
      </c>
      <c r="M16" s="4" t="s">
        <v>37</v>
      </c>
      <c r="N16" s="8">
        <v>20504.62</v>
      </c>
      <c r="O16" s="4" t="s">
        <v>38</v>
      </c>
      <c r="P16" s="4" t="str">
        <f>IF(COUNTIF('PO Issues Tracker'!$A:$A,B16)&gt;0,"Yes - excluded","")</f>
        <v>Yes - excluded</v>
      </c>
    </row>
    <row r="17" spans="1:16" x14ac:dyDescent="0.3">
      <c r="A17" s="4" t="s">
        <v>86</v>
      </c>
      <c r="B17" s="4" t="s">
        <v>87</v>
      </c>
      <c r="C17" s="4" t="s">
        <v>69</v>
      </c>
      <c r="D17" s="4" t="s">
        <v>70</v>
      </c>
      <c r="E17" s="4" t="s">
        <v>88</v>
      </c>
      <c r="F17" s="7">
        <v>46222</v>
      </c>
      <c r="G17" s="4" t="s">
        <v>7</v>
      </c>
      <c r="H17" s="7">
        <v>46217</v>
      </c>
      <c r="I17" s="4"/>
      <c r="J17" s="4" t="s">
        <v>185</v>
      </c>
      <c r="K17" s="4" t="s">
        <v>193</v>
      </c>
      <c r="L17" s="4" t="s">
        <v>36</v>
      </c>
      <c r="M17" s="4" t="s">
        <v>37</v>
      </c>
      <c r="N17" s="8">
        <v>4446.84</v>
      </c>
      <c r="O17" s="4" t="s">
        <v>38</v>
      </c>
      <c r="P17" s="4" t="str">
        <f>IF(COUNTIF('PO Issues Tracker'!$A:$A,B17)&gt;0,"Yes - excluded","")</f>
        <v/>
      </c>
    </row>
    <row r="18" spans="1:16" x14ac:dyDescent="0.3">
      <c r="A18" s="4" t="s">
        <v>86</v>
      </c>
      <c r="B18" s="4" t="s">
        <v>89</v>
      </c>
      <c r="C18" s="4" t="s">
        <v>75</v>
      </c>
      <c r="D18" s="4" t="s">
        <v>76</v>
      </c>
      <c r="E18" s="4" t="s">
        <v>90</v>
      </c>
      <c r="F18" s="7">
        <v>46222</v>
      </c>
      <c r="G18" s="4" t="s">
        <v>7</v>
      </c>
      <c r="H18" s="7">
        <v>46218</v>
      </c>
      <c r="I18" s="4"/>
      <c r="J18" s="4" t="s">
        <v>191</v>
      </c>
      <c r="K18" s="4" t="s">
        <v>193</v>
      </c>
      <c r="L18" s="4" t="s">
        <v>36</v>
      </c>
      <c r="M18" s="4" t="s">
        <v>37</v>
      </c>
      <c r="N18" s="8">
        <v>37624.519999999997</v>
      </c>
      <c r="O18" s="4" t="s">
        <v>38</v>
      </c>
      <c r="P18" s="4" t="str">
        <f>IF(COUNTIF('PO Issues Tracker'!$A:$A,B18)&gt;0,"Yes - excluded","")</f>
        <v/>
      </c>
    </row>
    <row r="19" spans="1:16" x14ac:dyDescent="0.3">
      <c r="A19" s="4" t="s">
        <v>86</v>
      </c>
      <c r="B19" s="4" t="s">
        <v>91</v>
      </c>
      <c r="C19" s="4" t="s">
        <v>69</v>
      </c>
      <c r="D19" s="4" t="s">
        <v>70</v>
      </c>
      <c r="E19" s="4" t="s">
        <v>92</v>
      </c>
      <c r="F19" s="7">
        <v>46222</v>
      </c>
      <c r="G19" s="4" t="s">
        <v>7</v>
      </c>
      <c r="H19" s="7">
        <v>46220</v>
      </c>
      <c r="I19" s="4"/>
      <c r="J19" s="4" t="s">
        <v>190</v>
      </c>
      <c r="K19" s="4" t="s">
        <v>193</v>
      </c>
      <c r="L19" s="4" t="s">
        <v>36</v>
      </c>
      <c r="M19" s="4" t="s">
        <v>37</v>
      </c>
      <c r="N19" s="8">
        <v>29790.97</v>
      </c>
      <c r="O19" s="4" t="s">
        <v>38</v>
      </c>
      <c r="P19" s="4" t="str">
        <f>IF(COUNTIF('PO Issues Tracker'!$A:$A,B19)&gt;0,"Yes - excluded","")</f>
        <v/>
      </c>
    </row>
    <row r="20" spans="1:16" x14ac:dyDescent="0.3">
      <c r="A20" s="4" t="s">
        <v>86</v>
      </c>
      <c r="B20" s="4" t="s">
        <v>93</v>
      </c>
      <c r="C20" s="4" t="s">
        <v>94</v>
      </c>
      <c r="D20" s="4" t="s">
        <v>95</v>
      </c>
      <c r="E20" s="4" t="s">
        <v>96</v>
      </c>
      <c r="F20" s="7">
        <v>46222</v>
      </c>
      <c r="G20" s="4" t="s">
        <v>8</v>
      </c>
      <c r="H20" s="7">
        <v>46218</v>
      </c>
      <c r="I20" s="4"/>
      <c r="J20" s="4" t="s">
        <v>191</v>
      </c>
      <c r="K20" s="4" t="s">
        <v>193</v>
      </c>
      <c r="L20" s="4" t="s">
        <v>36</v>
      </c>
      <c r="M20" s="4" t="s">
        <v>37</v>
      </c>
      <c r="N20" s="8">
        <v>43235.839999999997</v>
      </c>
      <c r="O20" s="4" t="s">
        <v>38</v>
      </c>
      <c r="P20" s="4" t="str">
        <f>IF(COUNTIF('PO Issues Tracker'!$A:$A,B20)&gt;0,"Yes - excluded","")</f>
        <v/>
      </c>
    </row>
    <row r="21" spans="1:16" x14ac:dyDescent="0.3">
      <c r="A21" s="4" t="s">
        <v>86</v>
      </c>
      <c r="B21" s="4" t="s">
        <v>97</v>
      </c>
      <c r="C21" s="4" t="s">
        <v>33</v>
      </c>
      <c r="D21" s="4" t="s">
        <v>34</v>
      </c>
      <c r="E21" s="4" t="s">
        <v>98</v>
      </c>
      <c r="F21" s="7">
        <v>46223</v>
      </c>
      <c r="G21" s="4" t="s">
        <v>8</v>
      </c>
      <c r="H21" s="7">
        <v>46220</v>
      </c>
      <c r="I21" s="4"/>
      <c r="J21" s="4" t="s">
        <v>191</v>
      </c>
      <c r="K21" s="4" t="s">
        <v>193</v>
      </c>
      <c r="L21" s="4" t="s">
        <v>36</v>
      </c>
      <c r="M21" s="4" t="s">
        <v>37</v>
      </c>
      <c r="N21" s="8">
        <v>43699.11</v>
      </c>
      <c r="O21" s="4" t="s">
        <v>38</v>
      </c>
      <c r="P21" s="4" t="str">
        <f>IF(COUNTIF('PO Issues Tracker'!$A:$A,B21)&gt;0,"Yes - excluded","")</f>
        <v/>
      </c>
    </row>
    <row r="22" spans="1:16" x14ac:dyDescent="0.3">
      <c r="A22" s="4" t="s">
        <v>86</v>
      </c>
      <c r="B22" s="4" t="s">
        <v>99</v>
      </c>
      <c r="C22" s="4" t="s">
        <v>75</v>
      </c>
      <c r="D22" s="4" t="s">
        <v>76</v>
      </c>
      <c r="E22" s="4" t="s">
        <v>100</v>
      </c>
      <c r="F22" s="7">
        <v>46223</v>
      </c>
      <c r="G22" s="4" t="s">
        <v>7</v>
      </c>
      <c r="H22" s="7">
        <v>46220</v>
      </c>
      <c r="I22" s="4"/>
      <c r="J22" s="4" t="s">
        <v>189</v>
      </c>
      <c r="K22" s="4" t="s">
        <v>193</v>
      </c>
      <c r="L22" s="4" t="s">
        <v>36</v>
      </c>
      <c r="M22" s="4" t="s">
        <v>37</v>
      </c>
      <c r="N22" s="8">
        <v>7425.38</v>
      </c>
      <c r="O22" s="4" t="s">
        <v>38</v>
      </c>
      <c r="P22" s="4" t="str">
        <f>IF(COUNTIF('PO Issues Tracker'!$A:$A,B22)&gt;0,"Yes - excluded","")</f>
        <v/>
      </c>
    </row>
    <row r="23" spans="1:16" x14ac:dyDescent="0.3">
      <c r="A23" s="4" t="s">
        <v>86</v>
      </c>
      <c r="B23" s="4" t="s">
        <v>101</v>
      </c>
      <c r="C23" s="4" t="s">
        <v>94</v>
      </c>
      <c r="D23" s="4" t="s">
        <v>95</v>
      </c>
      <c r="E23" s="4" t="s">
        <v>102</v>
      </c>
      <c r="F23" s="7">
        <v>46223</v>
      </c>
      <c r="G23" s="4" t="s">
        <v>8</v>
      </c>
      <c r="H23" s="7">
        <v>46218</v>
      </c>
      <c r="I23" s="4"/>
      <c r="J23" s="4" t="s">
        <v>191</v>
      </c>
      <c r="K23" s="4" t="s">
        <v>193</v>
      </c>
      <c r="L23" s="4" t="s">
        <v>36</v>
      </c>
      <c r="M23" s="4" t="s">
        <v>37</v>
      </c>
      <c r="N23" s="8">
        <v>9207.58</v>
      </c>
      <c r="O23" s="4" t="s">
        <v>38</v>
      </c>
      <c r="P23" s="4" t="str">
        <f>IF(COUNTIF('PO Issues Tracker'!$A:$A,B23)&gt;0,"Yes - excluded","")</f>
        <v/>
      </c>
    </row>
    <row r="24" spans="1:16" x14ac:dyDescent="0.3">
      <c r="A24" s="4" t="s">
        <v>86</v>
      </c>
      <c r="B24" s="4" t="s">
        <v>103</v>
      </c>
      <c r="C24" s="4" t="s">
        <v>75</v>
      </c>
      <c r="D24" s="4" t="s">
        <v>76</v>
      </c>
      <c r="E24" s="4" t="s">
        <v>104</v>
      </c>
      <c r="F24" s="7">
        <v>46223</v>
      </c>
      <c r="G24" s="4" t="s">
        <v>8</v>
      </c>
      <c r="H24" s="7">
        <v>46222</v>
      </c>
      <c r="I24" s="4"/>
      <c r="J24" s="4" t="s">
        <v>190</v>
      </c>
      <c r="K24" s="4" t="s">
        <v>193</v>
      </c>
      <c r="L24" s="4" t="s">
        <v>36</v>
      </c>
      <c r="M24" s="4" t="s">
        <v>37</v>
      </c>
      <c r="N24" s="8">
        <v>41807.24</v>
      </c>
      <c r="O24" s="4" t="s">
        <v>38</v>
      </c>
      <c r="P24" s="4" t="str">
        <f>IF(COUNTIF('PO Issues Tracker'!$A:$A,B24)&gt;0,"Yes - excluded","")</f>
        <v/>
      </c>
    </row>
    <row r="25" spans="1:16" x14ac:dyDescent="0.3">
      <c r="A25" s="4" t="s">
        <v>86</v>
      </c>
      <c r="B25" s="4" t="s">
        <v>105</v>
      </c>
      <c r="C25" s="4" t="s">
        <v>49</v>
      </c>
      <c r="D25" s="4" t="s">
        <v>50</v>
      </c>
      <c r="E25" s="4" t="s">
        <v>106</v>
      </c>
      <c r="F25" s="7">
        <v>46223</v>
      </c>
      <c r="G25" s="4" t="s">
        <v>8</v>
      </c>
      <c r="H25" s="7">
        <v>46218</v>
      </c>
      <c r="I25" s="4"/>
      <c r="J25" s="4" t="s">
        <v>187</v>
      </c>
      <c r="K25" s="4" t="s">
        <v>195</v>
      </c>
      <c r="L25" s="4" t="s">
        <v>52</v>
      </c>
      <c r="M25" s="4" t="s">
        <v>53</v>
      </c>
      <c r="N25" s="8">
        <v>5208.07</v>
      </c>
      <c r="O25" s="4" t="s">
        <v>54</v>
      </c>
      <c r="P25" s="4" t="str">
        <f>IF(COUNTIF('PO Issues Tracker'!$A:$A,B25)&gt;0,"Yes - excluded","")</f>
        <v/>
      </c>
    </row>
    <row r="26" spans="1:16" x14ac:dyDescent="0.3">
      <c r="A26" s="4" t="s">
        <v>86</v>
      </c>
      <c r="B26" s="4" t="s">
        <v>107</v>
      </c>
      <c r="C26" s="4" t="s">
        <v>56</v>
      </c>
      <c r="D26" s="4" t="s">
        <v>57</v>
      </c>
      <c r="E26" s="4"/>
      <c r="F26" s="7">
        <v>46224</v>
      </c>
      <c r="G26" s="4" t="s">
        <v>7</v>
      </c>
      <c r="H26" s="7">
        <v>46224</v>
      </c>
      <c r="I26" s="4"/>
      <c r="J26" s="4" t="s">
        <v>188</v>
      </c>
      <c r="K26" s="4" t="s">
        <v>194</v>
      </c>
      <c r="L26" s="4" t="s">
        <v>45</v>
      </c>
      <c r="M26" s="4" t="s">
        <v>46</v>
      </c>
      <c r="N26" s="8">
        <v>14209.08</v>
      </c>
      <c r="O26" s="4" t="s">
        <v>47</v>
      </c>
      <c r="P26" s="4" t="str">
        <f>IF(COUNTIF('PO Issues Tracker'!$A:$A,B26)&gt;0,"Yes - excluded","")</f>
        <v/>
      </c>
    </row>
    <row r="27" spans="1:16" x14ac:dyDescent="0.3">
      <c r="A27" s="4" t="s">
        <v>86</v>
      </c>
      <c r="B27" s="4" t="s">
        <v>108</v>
      </c>
      <c r="C27" s="4" t="s">
        <v>65</v>
      </c>
      <c r="D27" s="4" t="s">
        <v>66</v>
      </c>
      <c r="E27" s="4" t="s">
        <v>109</v>
      </c>
      <c r="F27" s="7">
        <v>46224</v>
      </c>
      <c r="G27" s="4" t="s">
        <v>8</v>
      </c>
      <c r="H27" s="7">
        <v>46223</v>
      </c>
      <c r="I27" s="4"/>
      <c r="J27" s="4" t="s">
        <v>188</v>
      </c>
      <c r="K27" s="4" t="s">
        <v>194</v>
      </c>
      <c r="L27" s="4" t="s">
        <v>45</v>
      </c>
      <c r="M27" s="4" t="s">
        <v>46</v>
      </c>
      <c r="N27" s="8">
        <v>20659.16</v>
      </c>
      <c r="O27" s="4" t="s">
        <v>47</v>
      </c>
      <c r="P27" s="4" t="str">
        <f>IF(COUNTIF('PO Issues Tracker'!$A:$A,B27)&gt;0,"Yes - excluded","")</f>
        <v/>
      </c>
    </row>
    <row r="28" spans="1:16" x14ac:dyDescent="0.3">
      <c r="A28" s="4" t="s">
        <v>86</v>
      </c>
      <c r="B28" s="4" t="s">
        <v>110</v>
      </c>
      <c r="C28" s="4" t="s">
        <v>65</v>
      </c>
      <c r="D28" s="4" t="s">
        <v>66</v>
      </c>
      <c r="E28" s="4" t="s">
        <v>111</v>
      </c>
      <c r="F28" s="7">
        <v>46224</v>
      </c>
      <c r="G28" s="4" t="s">
        <v>7</v>
      </c>
      <c r="H28" s="7">
        <v>46224</v>
      </c>
      <c r="I28" s="4"/>
      <c r="J28" s="4" t="s">
        <v>186</v>
      </c>
      <c r="K28" s="4" t="s">
        <v>194</v>
      </c>
      <c r="L28" s="4" t="s">
        <v>45</v>
      </c>
      <c r="M28" s="4" t="s">
        <v>46</v>
      </c>
      <c r="N28" s="8">
        <v>42922.64</v>
      </c>
      <c r="O28" s="4" t="s">
        <v>47</v>
      </c>
      <c r="P28" s="4" t="str">
        <f>IF(COUNTIF('PO Issues Tracker'!$A:$A,B28)&gt;0,"Yes - excluded","")</f>
        <v/>
      </c>
    </row>
    <row r="29" spans="1:16" x14ac:dyDescent="0.3">
      <c r="A29" s="4" t="s">
        <v>86</v>
      </c>
      <c r="B29" s="4" t="s">
        <v>112</v>
      </c>
      <c r="C29" s="4" t="s">
        <v>113</v>
      </c>
      <c r="D29" s="4" t="s">
        <v>50</v>
      </c>
      <c r="E29" s="4" t="s">
        <v>114</v>
      </c>
      <c r="F29" s="7">
        <v>46224</v>
      </c>
      <c r="G29" s="4" t="s">
        <v>7</v>
      </c>
      <c r="H29" s="7">
        <v>46221</v>
      </c>
      <c r="I29" s="4"/>
      <c r="J29" s="4" t="s">
        <v>192</v>
      </c>
      <c r="K29" s="4" t="s">
        <v>195</v>
      </c>
      <c r="L29" s="4" t="s">
        <v>52</v>
      </c>
      <c r="M29" s="4" t="s">
        <v>53</v>
      </c>
      <c r="N29" s="8">
        <v>10790.56</v>
      </c>
      <c r="O29" s="4" t="s">
        <v>54</v>
      </c>
      <c r="P29" s="4" t="str">
        <f>IF(COUNTIF('PO Issues Tracker'!$A:$A,B29)&gt;0,"Yes - excluded","")</f>
        <v/>
      </c>
    </row>
    <row r="30" spans="1:16" x14ac:dyDescent="0.3">
      <c r="A30" s="4" t="s">
        <v>86</v>
      </c>
      <c r="B30" s="4" t="s">
        <v>115</v>
      </c>
      <c r="C30" s="4" t="s">
        <v>49</v>
      </c>
      <c r="D30" s="4" t="s">
        <v>50</v>
      </c>
      <c r="E30" s="4" t="s">
        <v>116</v>
      </c>
      <c r="F30" s="7">
        <v>46224</v>
      </c>
      <c r="G30" s="4" t="s">
        <v>8</v>
      </c>
      <c r="H30" s="7">
        <v>46221</v>
      </c>
      <c r="I30" s="4"/>
      <c r="J30" s="4" t="s">
        <v>187</v>
      </c>
      <c r="K30" s="4" t="s">
        <v>195</v>
      </c>
      <c r="L30" s="4" t="s">
        <v>52</v>
      </c>
      <c r="M30" s="4" t="s">
        <v>53</v>
      </c>
      <c r="N30" s="8">
        <v>10126.89</v>
      </c>
      <c r="O30" s="4" t="s">
        <v>54</v>
      </c>
      <c r="P30" s="4" t="str">
        <f>IF(COUNTIF('PO Issues Tracker'!$A:$A,B30)&gt;0,"Yes - excluded","")</f>
        <v/>
      </c>
    </row>
    <row r="31" spans="1:16" hidden="1" x14ac:dyDescent="0.3">
      <c r="A31" s="4" t="s">
        <v>86</v>
      </c>
      <c r="B31" s="4" t="s">
        <v>117</v>
      </c>
      <c r="C31" s="4" t="s">
        <v>113</v>
      </c>
      <c r="D31" s="4" t="s">
        <v>50</v>
      </c>
      <c r="E31" s="4" t="s">
        <v>118</v>
      </c>
      <c r="F31" s="7">
        <v>46224</v>
      </c>
      <c r="G31" s="4" t="s">
        <v>8</v>
      </c>
      <c r="H31" s="7">
        <v>46220</v>
      </c>
      <c r="I31" s="4"/>
      <c r="J31" s="4" t="s">
        <v>192</v>
      </c>
      <c r="K31" s="4" t="s">
        <v>195</v>
      </c>
      <c r="L31" s="4" t="s">
        <v>52</v>
      </c>
      <c r="M31" s="4" t="s">
        <v>53</v>
      </c>
      <c r="N31" s="8">
        <v>13885.46</v>
      </c>
      <c r="O31" s="4" t="s">
        <v>54</v>
      </c>
      <c r="P31" s="4" t="str">
        <f>IF(COUNTIF('PO Issues Tracker'!$A:$A,B31)&gt;0,"Yes - excluded","")</f>
        <v>Yes - excluded</v>
      </c>
    </row>
    <row r="32" spans="1:16" x14ac:dyDescent="0.3">
      <c r="A32" s="4" t="s">
        <v>86</v>
      </c>
      <c r="B32" s="4" t="s">
        <v>119</v>
      </c>
      <c r="C32" s="4" t="s">
        <v>65</v>
      </c>
      <c r="D32" s="4" t="s">
        <v>66</v>
      </c>
      <c r="E32" s="4" t="s">
        <v>120</v>
      </c>
      <c r="F32" s="7">
        <v>46225</v>
      </c>
      <c r="G32" s="4" t="s">
        <v>7</v>
      </c>
      <c r="H32" s="7">
        <v>46224</v>
      </c>
      <c r="I32" s="4"/>
      <c r="J32" s="4" t="s">
        <v>188</v>
      </c>
      <c r="K32" s="4" t="s">
        <v>194</v>
      </c>
      <c r="L32" s="4" t="s">
        <v>45</v>
      </c>
      <c r="M32" s="4" t="s">
        <v>46</v>
      </c>
      <c r="N32" s="8">
        <v>3930.51</v>
      </c>
      <c r="O32" s="4" t="s">
        <v>47</v>
      </c>
      <c r="P32" s="4" t="str">
        <f>IF(COUNTIF('PO Issues Tracker'!$A:$A,B32)&gt;0,"Yes - excluded","")</f>
        <v/>
      </c>
    </row>
    <row r="33" spans="1:16" x14ac:dyDescent="0.3">
      <c r="A33" s="4" t="s">
        <v>86</v>
      </c>
      <c r="B33" s="4" t="s">
        <v>121</v>
      </c>
      <c r="C33" s="4" t="s">
        <v>69</v>
      </c>
      <c r="D33" s="4" t="s">
        <v>70</v>
      </c>
      <c r="E33" s="4" t="s">
        <v>122</v>
      </c>
      <c r="F33" s="7">
        <v>46225</v>
      </c>
      <c r="G33" s="4" t="s">
        <v>7</v>
      </c>
      <c r="H33" s="7">
        <v>46224</v>
      </c>
      <c r="I33" s="4"/>
      <c r="J33" s="4" t="s">
        <v>190</v>
      </c>
      <c r="K33" s="4" t="s">
        <v>193</v>
      </c>
      <c r="L33" s="4" t="s">
        <v>36</v>
      </c>
      <c r="M33" s="4" t="s">
        <v>37</v>
      </c>
      <c r="N33" s="8">
        <v>4191.71</v>
      </c>
      <c r="O33" s="4" t="s">
        <v>38</v>
      </c>
      <c r="P33" s="4" t="str">
        <f>IF(COUNTIF('PO Issues Tracker'!$A:$A,B33)&gt;0,"Yes - excluded","")</f>
        <v/>
      </c>
    </row>
    <row r="34" spans="1:16" x14ac:dyDescent="0.3">
      <c r="A34" s="4" t="s">
        <v>86</v>
      </c>
      <c r="B34" s="4" t="s">
        <v>123</v>
      </c>
      <c r="C34" s="4" t="s">
        <v>42</v>
      </c>
      <c r="D34" s="4" t="s">
        <v>43</v>
      </c>
      <c r="E34" s="4" t="s">
        <v>124</v>
      </c>
      <c r="F34" s="7">
        <v>46225</v>
      </c>
      <c r="G34" s="4" t="s">
        <v>8</v>
      </c>
      <c r="H34" s="7">
        <v>46225</v>
      </c>
      <c r="I34" s="4"/>
      <c r="J34" s="4" t="s">
        <v>186</v>
      </c>
      <c r="K34" s="4" t="s">
        <v>194</v>
      </c>
      <c r="L34" s="4" t="s">
        <v>45</v>
      </c>
      <c r="M34" s="4" t="s">
        <v>46</v>
      </c>
      <c r="N34" s="8">
        <v>3564.43</v>
      </c>
      <c r="O34" s="4" t="s">
        <v>47</v>
      </c>
      <c r="P34" s="4" t="str">
        <f>IF(COUNTIF('PO Issues Tracker'!$A:$A,B34)&gt;0,"Yes - excluded","")</f>
        <v/>
      </c>
    </row>
    <row r="35" spans="1:16" x14ac:dyDescent="0.3">
      <c r="A35" s="4" t="s">
        <v>86</v>
      </c>
      <c r="B35" s="4" t="s">
        <v>125</v>
      </c>
      <c r="C35" s="4" t="s">
        <v>65</v>
      </c>
      <c r="D35" s="4" t="s">
        <v>66</v>
      </c>
      <c r="E35" s="4" t="s">
        <v>126</v>
      </c>
      <c r="F35" s="7">
        <v>46225</v>
      </c>
      <c r="G35" s="4" t="s">
        <v>8</v>
      </c>
      <c r="H35" s="7">
        <v>46222</v>
      </c>
      <c r="I35" s="4"/>
      <c r="J35" s="4" t="s">
        <v>186</v>
      </c>
      <c r="K35" s="4" t="s">
        <v>194</v>
      </c>
      <c r="L35" s="4" t="s">
        <v>45</v>
      </c>
      <c r="M35" s="4" t="s">
        <v>46</v>
      </c>
      <c r="N35" s="8">
        <v>16000.08</v>
      </c>
      <c r="O35" s="4" t="s">
        <v>47</v>
      </c>
      <c r="P35" s="4" t="str">
        <f>IF(COUNTIF('PO Issues Tracker'!$A:$A,B35)&gt;0,"Yes - excluded","")</f>
        <v/>
      </c>
    </row>
    <row r="36" spans="1:16" x14ac:dyDescent="0.3">
      <c r="A36" s="4" t="s">
        <v>86</v>
      </c>
      <c r="B36" s="4" t="s">
        <v>127</v>
      </c>
      <c r="C36" s="4" t="s">
        <v>113</v>
      </c>
      <c r="D36" s="4" t="s">
        <v>50</v>
      </c>
      <c r="E36" s="4" t="s">
        <v>128</v>
      </c>
      <c r="F36" s="7">
        <v>46225</v>
      </c>
      <c r="G36" s="4" t="s">
        <v>8</v>
      </c>
      <c r="H36" s="7">
        <v>46220</v>
      </c>
      <c r="I36" s="4"/>
      <c r="J36" s="4" t="s">
        <v>192</v>
      </c>
      <c r="K36" s="4" t="s">
        <v>195</v>
      </c>
      <c r="L36" s="4" t="s">
        <v>52</v>
      </c>
      <c r="M36" s="4" t="s">
        <v>53</v>
      </c>
      <c r="N36" s="8">
        <v>16302.6</v>
      </c>
      <c r="O36" s="4" t="s">
        <v>54</v>
      </c>
      <c r="P36" s="4" t="str">
        <f>IF(COUNTIF('PO Issues Tracker'!$A:$A,B36)&gt;0,"Yes - excluded","")</f>
        <v/>
      </c>
    </row>
    <row r="37" spans="1:16" x14ac:dyDescent="0.3">
      <c r="A37" s="4" t="s">
        <v>86</v>
      </c>
      <c r="B37" s="4" t="s">
        <v>129</v>
      </c>
      <c r="C37" s="4" t="s">
        <v>113</v>
      </c>
      <c r="D37" s="4" t="s">
        <v>50</v>
      </c>
      <c r="E37" s="4" t="s">
        <v>130</v>
      </c>
      <c r="F37" s="7">
        <v>46225</v>
      </c>
      <c r="G37" s="4" t="s">
        <v>8</v>
      </c>
      <c r="H37" s="7">
        <v>46224</v>
      </c>
      <c r="I37" s="4"/>
      <c r="J37" s="4" t="s">
        <v>192</v>
      </c>
      <c r="K37" s="4" t="s">
        <v>195</v>
      </c>
      <c r="L37" s="4" t="s">
        <v>52</v>
      </c>
      <c r="M37" s="4" t="s">
        <v>53</v>
      </c>
      <c r="N37" s="8">
        <v>2761.87</v>
      </c>
      <c r="O37" s="4" t="s">
        <v>54</v>
      </c>
      <c r="P37" s="4" t="str">
        <f>IF(COUNTIF('PO Issues Tracker'!$A:$A,B37)&gt;0,"Yes - excluded","")</f>
        <v/>
      </c>
    </row>
    <row r="38" spans="1:16" x14ac:dyDescent="0.3">
      <c r="A38" s="4" t="s">
        <v>86</v>
      </c>
      <c r="B38" s="4" t="s">
        <v>131</v>
      </c>
      <c r="C38" s="4" t="s">
        <v>75</v>
      </c>
      <c r="D38" s="4" t="s">
        <v>76</v>
      </c>
      <c r="E38" s="4" t="s">
        <v>132</v>
      </c>
      <c r="F38" s="7">
        <v>46225</v>
      </c>
      <c r="G38" s="4" t="s">
        <v>7</v>
      </c>
      <c r="H38" s="7">
        <v>46224</v>
      </c>
      <c r="I38" s="4"/>
      <c r="J38" s="4" t="s">
        <v>190</v>
      </c>
      <c r="K38" s="4" t="s">
        <v>193</v>
      </c>
      <c r="L38" s="4" t="s">
        <v>36</v>
      </c>
      <c r="M38" s="4" t="s">
        <v>37</v>
      </c>
      <c r="N38" s="8">
        <v>27533.27</v>
      </c>
      <c r="O38" s="4" t="s">
        <v>38</v>
      </c>
      <c r="P38" s="4" t="str">
        <f>IF(COUNTIF('PO Issues Tracker'!$A:$A,B38)&gt;0,"Yes - excluded","")</f>
        <v/>
      </c>
    </row>
    <row r="39" spans="1:16" hidden="1" x14ac:dyDescent="0.3">
      <c r="A39" s="4" t="s">
        <v>86</v>
      </c>
      <c r="B39" s="4" t="s">
        <v>133</v>
      </c>
      <c r="C39" s="4" t="s">
        <v>56</v>
      </c>
      <c r="D39" s="4" t="s">
        <v>57</v>
      </c>
      <c r="E39" s="4" t="s">
        <v>134</v>
      </c>
      <c r="F39" s="7">
        <v>46225</v>
      </c>
      <c r="G39" s="4" t="s">
        <v>7</v>
      </c>
      <c r="H39" s="7">
        <v>46220</v>
      </c>
      <c r="I39" s="4"/>
      <c r="J39" s="4" t="s">
        <v>188</v>
      </c>
      <c r="K39" s="4" t="s">
        <v>194</v>
      </c>
      <c r="L39" s="4" t="s">
        <v>45</v>
      </c>
      <c r="M39" s="4" t="s">
        <v>46</v>
      </c>
      <c r="N39" s="8">
        <v>5211.9799999999996</v>
      </c>
      <c r="O39" s="4" t="s">
        <v>47</v>
      </c>
      <c r="P39" s="4" t="str">
        <f>IF(COUNTIF('PO Issues Tracker'!$A:$A,B39)&gt;0,"Yes - excluded","")</f>
        <v>Yes - excluded</v>
      </c>
    </row>
    <row r="40" spans="1:16" x14ac:dyDescent="0.3">
      <c r="A40" s="4" t="s">
        <v>86</v>
      </c>
      <c r="B40" s="4" t="s">
        <v>135</v>
      </c>
      <c r="C40" s="4" t="s">
        <v>56</v>
      </c>
      <c r="D40" s="4" t="s">
        <v>57</v>
      </c>
      <c r="E40" s="4" t="s">
        <v>136</v>
      </c>
      <c r="F40" s="7">
        <v>46225</v>
      </c>
      <c r="G40" s="4" t="s">
        <v>8</v>
      </c>
      <c r="H40" s="7">
        <v>46223</v>
      </c>
      <c r="I40" s="4"/>
      <c r="J40" s="4" t="s">
        <v>188</v>
      </c>
      <c r="K40" s="4" t="s">
        <v>194</v>
      </c>
      <c r="L40" s="4" t="s">
        <v>45</v>
      </c>
      <c r="M40" s="4" t="s">
        <v>46</v>
      </c>
      <c r="N40" s="8">
        <v>30943.62</v>
      </c>
      <c r="O40" s="4" t="s">
        <v>47</v>
      </c>
      <c r="P40" s="4" t="str">
        <f>IF(COUNTIF('PO Issues Tracker'!$A:$A,B40)&gt;0,"Yes - excluded","")</f>
        <v/>
      </c>
    </row>
    <row r="41" spans="1:16" x14ac:dyDescent="0.3">
      <c r="A41" s="4" t="s">
        <v>86</v>
      </c>
      <c r="B41" s="4" t="s">
        <v>137</v>
      </c>
      <c r="C41" s="4" t="s">
        <v>56</v>
      </c>
      <c r="D41" s="4" t="s">
        <v>57</v>
      </c>
      <c r="E41" s="4" t="s">
        <v>138</v>
      </c>
      <c r="F41" s="7">
        <v>46225</v>
      </c>
      <c r="G41" s="4" t="s">
        <v>7</v>
      </c>
      <c r="H41" s="7">
        <v>46225</v>
      </c>
      <c r="I41" s="4"/>
      <c r="J41" s="4" t="s">
        <v>186</v>
      </c>
      <c r="K41" s="4" t="s">
        <v>194</v>
      </c>
      <c r="L41" s="4" t="s">
        <v>45</v>
      </c>
      <c r="M41" s="4" t="s">
        <v>46</v>
      </c>
      <c r="N41" s="8">
        <v>2003.02</v>
      </c>
      <c r="O41" s="4" t="s">
        <v>47</v>
      </c>
      <c r="P41" s="4" t="str">
        <f>IF(COUNTIF('PO Issues Tracker'!$A:$A,B41)&gt;0,"Yes - excluded","")</f>
        <v/>
      </c>
    </row>
    <row r="42" spans="1:16" x14ac:dyDescent="0.3">
      <c r="A42" s="4" t="s">
        <v>86</v>
      </c>
      <c r="B42" s="4" t="s">
        <v>139</v>
      </c>
      <c r="C42" s="4" t="s">
        <v>56</v>
      </c>
      <c r="D42" s="4" t="s">
        <v>57</v>
      </c>
      <c r="E42" s="4" t="s">
        <v>140</v>
      </c>
      <c r="F42" s="7">
        <v>46226</v>
      </c>
      <c r="G42" s="4" t="s">
        <v>8</v>
      </c>
      <c r="H42" s="7">
        <v>46223</v>
      </c>
      <c r="I42" s="4"/>
      <c r="J42" s="4" t="s">
        <v>186</v>
      </c>
      <c r="K42" s="4" t="s">
        <v>194</v>
      </c>
      <c r="L42" s="4" t="s">
        <v>45</v>
      </c>
      <c r="M42" s="4" t="s">
        <v>46</v>
      </c>
      <c r="N42" s="8">
        <v>34151.160000000003</v>
      </c>
      <c r="O42" s="4" t="s">
        <v>47</v>
      </c>
      <c r="P42" s="4" t="str">
        <f>IF(COUNTIF('PO Issues Tracker'!$A:$A,B42)&gt;0,"Yes - excluded","")</f>
        <v/>
      </c>
    </row>
    <row r="43" spans="1:16" x14ac:dyDescent="0.3">
      <c r="A43" s="4" t="s">
        <v>86</v>
      </c>
      <c r="B43" s="4" t="s">
        <v>141</v>
      </c>
      <c r="C43" s="4" t="s">
        <v>33</v>
      </c>
      <c r="D43" s="4" t="s">
        <v>34</v>
      </c>
      <c r="E43" s="4" t="s">
        <v>142</v>
      </c>
      <c r="F43" s="7">
        <v>46226</v>
      </c>
      <c r="G43" s="4" t="s">
        <v>7</v>
      </c>
      <c r="H43" s="7">
        <v>46221</v>
      </c>
      <c r="I43" s="4"/>
      <c r="J43" s="4" t="s">
        <v>190</v>
      </c>
      <c r="K43" s="4" t="s">
        <v>193</v>
      </c>
      <c r="L43" s="4" t="s">
        <v>36</v>
      </c>
      <c r="M43" s="4" t="s">
        <v>37</v>
      </c>
      <c r="N43" s="8">
        <v>44335.26</v>
      </c>
      <c r="O43" s="4" t="s">
        <v>38</v>
      </c>
      <c r="P43" s="4" t="str">
        <f>IF(COUNTIF('PO Issues Tracker'!$A:$A,B43)&gt;0,"Yes - excluded","")</f>
        <v/>
      </c>
    </row>
    <row r="44" spans="1:16" x14ac:dyDescent="0.3">
      <c r="A44" s="4" t="s">
        <v>86</v>
      </c>
      <c r="B44" s="4" t="s">
        <v>143</v>
      </c>
      <c r="C44" s="4" t="s">
        <v>94</v>
      </c>
      <c r="D44" s="4" t="s">
        <v>95</v>
      </c>
      <c r="E44" s="4" t="s">
        <v>144</v>
      </c>
      <c r="F44" s="7">
        <v>46226</v>
      </c>
      <c r="G44" s="4" t="s">
        <v>7</v>
      </c>
      <c r="H44" s="7">
        <v>46226</v>
      </c>
      <c r="I44" s="4"/>
      <c r="J44" s="4" t="s">
        <v>189</v>
      </c>
      <c r="K44" s="4" t="s">
        <v>193</v>
      </c>
      <c r="L44" s="4" t="s">
        <v>36</v>
      </c>
      <c r="M44" s="4" t="s">
        <v>37</v>
      </c>
      <c r="N44" s="8">
        <v>3051.67</v>
      </c>
      <c r="O44" s="4" t="s">
        <v>38</v>
      </c>
      <c r="P44" s="4" t="str">
        <f>IF(COUNTIF('PO Issues Tracker'!$A:$A,B44)&gt;0,"Yes - excluded","")</f>
        <v/>
      </c>
    </row>
    <row r="45" spans="1:16" x14ac:dyDescent="0.3">
      <c r="A45" s="4" t="s">
        <v>86</v>
      </c>
      <c r="B45" s="4" t="s">
        <v>145</v>
      </c>
      <c r="C45" s="4" t="s">
        <v>42</v>
      </c>
      <c r="D45" s="4" t="s">
        <v>43</v>
      </c>
      <c r="E45" s="4" t="s">
        <v>146</v>
      </c>
      <c r="F45" s="7">
        <v>46226</v>
      </c>
      <c r="G45" s="4" t="s">
        <v>8</v>
      </c>
      <c r="H45" s="7">
        <v>46224</v>
      </c>
      <c r="I45" s="4"/>
      <c r="J45" s="4" t="s">
        <v>188</v>
      </c>
      <c r="K45" s="4" t="s">
        <v>194</v>
      </c>
      <c r="L45" s="4" t="s">
        <v>45</v>
      </c>
      <c r="M45" s="4" t="s">
        <v>46</v>
      </c>
      <c r="N45" s="8">
        <v>32556.400000000001</v>
      </c>
      <c r="O45" s="4" t="s">
        <v>47</v>
      </c>
      <c r="P45" s="4" t="str">
        <f>IF(COUNTIF('PO Issues Tracker'!$A:$A,B45)&gt;0,"Yes - excluded","")</f>
        <v/>
      </c>
    </row>
    <row r="46" spans="1:16" x14ac:dyDescent="0.3">
      <c r="A46" s="4" t="s">
        <v>86</v>
      </c>
      <c r="B46" s="4" t="s">
        <v>147</v>
      </c>
      <c r="C46" s="4" t="s">
        <v>33</v>
      </c>
      <c r="D46" s="4" t="s">
        <v>34</v>
      </c>
      <c r="E46" s="4" t="s">
        <v>148</v>
      </c>
      <c r="F46" s="7">
        <v>46226</v>
      </c>
      <c r="G46" s="4" t="s">
        <v>8</v>
      </c>
      <c r="H46" s="7">
        <v>46223</v>
      </c>
      <c r="I46" s="4"/>
      <c r="J46" s="4" t="s">
        <v>185</v>
      </c>
      <c r="K46" s="4" t="s">
        <v>193</v>
      </c>
      <c r="L46" s="4" t="s">
        <v>36</v>
      </c>
      <c r="M46" s="4" t="s">
        <v>37</v>
      </c>
      <c r="N46" s="8">
        <v>29661.040000000001</v>
      </c>
      <c r="O46" s="4" t="s">
        <v>38</v>
      </c>
      <c r="P46" s="4" t="str">
        <f>IF(COUNTIF('PO Issues Tracker'!$A:$A,B46)&gt;0,"Yes - excluded","")</f>
        <v/>
      </c>
    </row>
    <row r="47" spans="1:16" x14ac:dyDescent="0.3">
      <c r="A47" s="4" t="s">
        <v>86</v>
      </c>
      <c r="B47" s="4" t="s">
        <v>149</v>
      </c>
      <c r="C47" s="4" t="s">
        <v>42</v>
      </c>
      <c r="D47" s="4" t="s">
        <v>43</v>
      </c>
      <c r="E47" s="4" t="s">
        <v>150</v>
      </c>
      <c r="F47" s="7">
        <v>46226</v>
      </c>
      <c r="G47" s="4" t="s">
        <v>7</v>
      </c>
      <c r="H47" s="7">
        <v>46225</v>
      </c>
      <c r="I47" s="4"/>
      <c r="J47" s="4" t="s">
        <v>188</v>
      </c>
      <c r="K47" s="4" t="s">
        <v>194</v>
      </c>
      <c r="L47" s="4" t="s">
        <v>45</v>
      </c>
      <c r="M47" s="4" t="s">
        <v>46</v>
      </c>
      <c r="N47" s="8">
        <v>8273.2900000000009</v>
      </c>
      <c r="O47" s="4" t="s">
        <v>47</v>
      </c>
      <c r="P47" s="4" t="str">
        <f>IF(COUNTIF('PO Issues Tracker'!$A:$A,B47)&gt;0,"Yes - excluded","")</f>
        <v/>
      </c>
    </row>
    <row r="48" spans="1:16" x14ac:dyDescent="0.3">
      <c r="A48" s="4" t="s">
        <v>86</v>
      </c>
      <c r="B48" s="4" t="s">
        <v>151</v>
      </c>
      <c r="C48" s="4" t="s">
        <v>42</v>
      </c>
      <c r="D48" s="4" t="s">
        <v>43</v>
      </c>
      <c r="E48" s="4" t="s">
        <v>152</v>
      </c>
      <c r="F48" s="7">
        <v>46226</v>
      </c>
      <c r="G48" s="4" t="s">
        <v>7</v>
      </c>
      <c r="H48" s="7">
        <v>46221</v>
      </c>
      <c r="I48" s="4"/>
      <c r="J48" s="4" t="s">
        <v>188</v>
      </c>
      <c r="K48" s="4" t="s">
        <v>194</v>
      </c>
      <c r="L48" s="4" t="s">
        <v>45</v>
      </c>
      <c r="M48" s="4" t="s">
        <v>46</v>
      </c>
      <c r="N48" s="8">
        <v>43823.19</v>
      </c>
      <c r="O48" s="4" t="s">
        <v>47</v>
      </c>
      <c r="P48" s="4" t="str">
        <f>IF(COUNTIF('PO Issues Tracker'!$A:$A,B48)&gt;0,"Yes - excluded","")</f>
        <v/>
      </c>
    </row>
    <row r="49" spans="1:16" x14ac:dyDescent="0.3">
      <c r="A49" s="4" t="s">
        <v>86</v>
      </c>
      <c r="B49" s="4" t="s">
        <v>153</v>
      </c>
      <c r="C49" s="4" t="s">
        <v>42</v>
      </c>
      <c r="D49" s="4" t="s">
        <v>43</v>
      </c>
      <c r="E49" s="4" t="s">
        <v>154</v>
      </c>
      <c r="F49" s="7">
        <v>46226</v>
      </c>
      <c r="G49" s="4" t="s">
        <v>7</v>
      </c>
      <c r="H49" s="7">
        <v>46225</v>
      </c>
      <c r="I49" s="4"/>
      <c r="J49" s="4" t="s">
        <v>186</v>
      </c>
      <c r="K49" s="4" t="s">
        <v>194</v>
      </c>
      <c r="L49" s="4" t="s">
        <v>45</v>
      </c>
      <c r="M49" s="4" t="s">
        <v>46</v>
      </c>
      <c r="N49" s="8">
        <v>12551.57</v>
      </c>
      <c r="O49" s="4" t="s">
        <v>47</v>
      </c>
      <c r="P49" s="4" t="str">
        <f>IF(COUNTIF('PO Issues Tracker'!$A:$A,B49)&gt;0,"Yes - excluded","")</f>
        <v/>
      </c>
    </row>
    <row r="50" spans="1:16" x14ac:dyDescent="0.3">
      <c r="A50" s="4" t="s">
        <v>86</v>
      </c>
      <c r="B50" s="4" t="s">
        <v>155</v>
      </c>
      <c r="C50" s="4" t="s">
        <v>49</v>
      </c>
      <c r="D50" s="4" t="s">
        <v>50</v>
      </c>
      <c r="E50" s="4" t="s">
        <v>156</v>
      </c>
      <c r="F50" s="7">
        <v>46227</v>
      </c>
      <c r="G50" s="4" t="s">
        <v>8</v>
      </c>
      <c r="H50" s="7">
        <v>46223</v>
      </c>
      <c r="I50" s="4"/>
      <c r="J50" s="4" t="s">
        <v>192</v>
      </c>
      <c r="K50" s="4" t="s">
        <v>195</v>
      </c>
      <c r="L50" s="4" t="s">
        <v>52</v>
      </c>
      <c r="M50" s="4" t="s">
        <v>53</v>
      </c>
      <c r="N50" s="8">
        <v>12162.25</v>
      </c>
      <c r="O50" s="4" t="s">
        <v>54</v>
      </c>
      <c r="P50" s="4" t="str">
        <f>IF(COUNTIF('PO Issues Tracker'!$A:$A,B50)&gt;0,"Yes - excluded","")</f>
        <v/>
      </c>
    </row>
    <row r="51" spans="1:16" x14ac:dyDescent="0.3">
      <c r="A51" s="4" t="s">
        <v>86</v>
      </c>
      <c r="B51" s="4" t="s">
        <v>157</v>
      </c>
      <c r="C51" s="4" t="s">
        <v>113</v>
      </c>
      <c r="D51" s="4" t="s">
        <v>50</v>
      </c>
      <c r="E51" s="4" t="s">
        <v>158</v>
      </c>
      <c r="F51" s="7">
        <v>46227</v>
      </c>
      <c r="G51" s="4" t="s">
        <v>8</v>
      </c>
      <c r="H51" s="7">
        <v>46225</v>
      </c>
      <c r="I51" s="4"/>
      <c r="J51" s="4" t="s">
        <v>187</v>
      </c>
      <c r="K51" s="4" t="s">
        <v>195</v>
      </c>
      <c r="L51" s="4" t="s">
        <v>52</v>
      </c>
      <c r="M51" s="4" t="s">
        <v>53</v>
      </c>
      <c r="N51" s="8">
        <v>41802.53</v>
      </c>
      <c r="O51" s="4" t="s">
        <v>54</v>
      </c>
      <c r="P51" s="4" t="str">
        <f>IF(COUNTIF('PO Issues Tracker'!$A:$A,B51)&gt;0,"Yes - excluded","")</f>
        <v/>
      </c>
    </row>
    <row r="52" spans="1:16" x14ac:dyDescent="0.3">
      <c r="A52" s="4" t="s">
        <v>86</v>
      </c>
      <c r="B52" s="4" t="s">
        <v>159</v>
      </c>
      <c r="C52" s="4" t="s">
        <v>113</v>
      </c>
      <c r="D52" s="4" t="s">
        <v>50</v>
      </c>
      <c r="E52" s="4" t="s">
        <v>160</v>
      </c>
      <c r="F52" s="7">
        <v>46227</v>
      </c>
      <c r="G52" s="4" t="s">
        <v>7</v>
      </c>
      <c r="H52" s="7">
        <v>46222</v>
      </c>
      <c r="I52" s="4"/>
      <c r="J52" s="4" t="s">
        <v>187</v>
      </c>
      <c r="K52" s="4" t="s">
        <v>195</v>
      </c>
      <c r="L52" s="4" t="s">
        <v>52</v>
      </c>
      <c r="M52" s="4" t="s">
        <v>53</v>
      </c>
      <c r="N52" s="8">
        <v>454.94</v>
      </c>
      <c r="O52" s="4" t="s">
        <v>54</v>
      </c>
      <c r="P52" s="4" t="str">
        <f>IF(COUNTIF('PO Issues Tracker'!$A:$A,B52)&gt;0,"Yes - excluded","")</f>
        <v/>
      </c>
    </row>
    <row r="53" spans="1:16" x14ac:dyDescent="0.3">
      <c r="A53" s="4" t="s">
        <v>86</v>
      </c>
      <c r="B53" s="4" t="s">
        <v>161</v>
      </c>
      <c r="C53" s="4" t="s">
        <v>75</v>
      </c>
      <c r="D53" s="4" t="s">
        <v>76</v>
      </c>
      <c r="E53" s="4" t="s">
        <v>162</v>
      </c>
      <c r="F53" s="7">
        <v>46227</v>
      </c>
      <c r="G53" s="4" t="s">
        <v>7</v>
      </c>
      <c r="H53" s="7">
        <v>46224</v>
      </c>
      <c r="I53" s="4"/>
      <c r="J53" s="4" t="s">
        <v>189</v>
      </c>
      <c r="K53" s="4" t="s">
        <v>193</v>
      </c>
      <c r="L53" s="4" t="s">
        <v>36</v>
      </c>
      <c r="M53" s="4" t="s">
        <v>37</v>
      </c>
      <c r="N53" s="8">
        <v>35211.74</v>
      </c>
      <c r="O53" s="4" t="s">
        <v>38</v>
      </c>
      <c r="P53" s="4" t="str">
        <f>IF(COUNTIF('PO Issues Tracker'!$A:$A,B53)&gt;0,"Yes - excluded","")</f>
        <v/>
      </c>
    </row>
    <row r="54" spans="1:16" x14ac:dyDescent="0.3">
      <c r="A54" s="4" t="s">
        <v>86</v>
      </c>
      <c r="B54" s="4" t="s">
        <v>163</v>
      </c>
      <c r="C54" s="4" t="s">
        <v>75</v>
      </c>
      <c r="D54" s="4" t="s">
        <v>76</v>
      </c>
      <c r="E54" s="4" t="s">
        <v>164</v>
      </c>
      <c r="F54" s="7">
        <v>46227</v>
      </c>
      <c r="G54" s="4" t="s">
        <v>7</v>
      </c>
      <c r="H54" s="7">
        <v>46222</v>
      </c>
      <c r="I54" s="4"/>
      <c r="J54" s="4" t="s">
        <v>190</v>
      </c>
      <c r="K54" s="4" t="s">
        <v>193</v>
      </c>
      <c r="L54" s="4" t="s">
        <v>36</v>
      </c>
      <c r="M54" s="4" t="s">
        <v>37</v>
      </c>
      <c r="N54" s="8">
        <v>10025.07</v>
      </c>
      <c r="O54" s="4" t="s">
        <v>38</v>
      </c>
      <c r="P54" s="4" t="str">
        <f>IF(COUNTIF('PO Issues Tracker'!$A:$A,B54)&gt;0,"Yes - excluded","")</f>
        <v/>
      </c>
    </row>
    <row r="55" spans="1:16" x14ac:dyDescent="0.3">
      <c r="A55" s="4" t="s">
        <v>86</v>
      </c>
      <c r="B55" s="4" t="s">
        <v>165</v>
      </c>
      <c r="C55" s="4" t="s">
        <v>94</v>
      </c>
      <c r="D55" s="4" t="s">
        <v>95</v>
      </c>
      <c r="E55" s="4" t="s">
        <v>166</v>
      </c>
      <c r="F55" s="7">
        <v>46228</v>
      </c>
      <c r="G55" s="4" t="s">
        <v>7</v>
      </c>
      <c r="H55" s="7">
        <v>46227</v>
      </c>
      <c r="I55" s="4"/>
      <c r="J55" s="4" t="s">
        <v>191</v>
      </c>
      <c r="K55" s="4" t="s">
        <v>193</v>
      </c>
      <c r="L55" s="4" t="s">
        <v>36</v>
      </c>
      <c r="M55" s="4" t="s">
        <v>37</v>
      </c>
      <c r="N55" s="8">
        <v>8963.7199999999993</v>
      </c>
      <c r="O55" s="4" t="s">
        <v>38</v>
      </c>
      <c r="P55" s="4" t="str">
        <f>IF(COUNTIF('PO Issues Tracker'!$A:$A,B55)&gt;0,"Yes - excluded","")</f>
        <v/>
      </c>
    </row>
    <row r="56" spans="1:16" x14ac:dyDescent="0.3">
      <c r="A56" s="4" t="s">
        <v>86</v>
      </c>
      <c r="B56" s="4" t="s">
        <v>167</v>
      </c>
      <c r="C56" s="4" t="s">
        <v>56</v>
      </c>
      <c r="D56" s="4" t="s">
        <v>57</v>
      </c>
      <c r="E56" s="4" t="s">
        <v>168</v>
      </c>
      <c r="F56" s="7">
        <v>46228</v>
      </c>
      <c r="G56" s="4" t="s">
        <v>8</v>
      </c>
      <c r="H56" s="7">
        <v>46228</v>
      </c>
      <c r="I56" s="4"/>
      <c r="J56" s="4" t="s">
        <v>186</v>
      </c>
      <c r="K56" s="4" t="s">
        <v>194</v>
      </c>
      <c r="L56" s="4" t="s">
        <v>45</v>
      </c>
      <c r="M56" s="4" t="s">
        <v>46</v>
      </c>
      <c r="N56" s="8">
        <v>35647.730000000003</v>
      </c>
      <c r="O56" s="4" t="s">
        <v>47</v>
      </c>
      <c r="P56" s="4" t="str">
        <f>IF(COUNTIF('PO Issues Tracker'!$A:$A,B56)&gt;0,"Yes - excluded","")</f>
        <v/>
      </c>
    </row>
    <row r="57" spans="1:16" x14ac:dyDescent="0.3">
      <c r="A57" s="4" t="s">
        <v>86</v>
      </c>
      <c r="B57" s="4" t="s">
        <v>169</v>
      </c>
      <c r="C57" s="4" t="s">
        <v>56</v>
      </c>
      <c r="D57" s="4" t="s">
        <v>57</v>
      </c>
      <c r="E57" s="4" t="s">
        <v>170</v>
      </c>
      <c r="F57" s="7">
        <v>46228</v>
      </c>
      <c r="G57" s="4" t="s">
        <v>7</v>
      </c>
      <c r="H57" s="7">
        <v>46223</v>
      </c>
      <c r="I57" s="4"/>
      <c r="J57" s="4" t="s">
        <v>188</v>
      </c>
      <c r="K57" s="4" t="s">
        <v>194</v>
      </c>
      <c r="L57" s="4" t="s">
        <v>45</v>
      </c>
      <c r="M57" s="4" t="s">
        <v>46</v>
      </c>
      <c r="N57" s="8">
        <v>8967.02</v>
      </c>
      <c r="O57" s="4" t="s">
        <v>47</v>
      </c>
      <c r="P57" s="4" t="str">
        <f>IF(COUNTIF('PO Issues Tracker'!$A:$A,B57)&gt;0,"Yes - excluded","")</f>
        <v/>
      </c>
    </row>
    <row r="58" spans="1:16" x14ac:dyDescent="0.3">
      <c r="A58" s="4" t="s">
        <v>86</v>
      </c>
      <c r="B58" s="4" t="s">
        <v>171</v>
      </c>
      <c r="C58" s="4" t="s">
        <v>33</v>
      </c>
      <c r="D58" s="4" t="s">
        <v>34</v>
      </c>
      <c r="E58" s="4"/>
      <c r="F58" s="7">
        <v>46228</v>
      </c>
      <c r="G58" s="4" t="s">
        <v>7</v>
      </c>
      <c r="H58" s="7">
        <v>46223</v>
      </c>
      <c r="I58" s="4"/>
      <c r="J58" s="4" t="s">
        <v>191</v>
      </c>
      <c r="K58" s="4" t="s">
        <v>193</v>
      </c>
      <c r="L58" s="4" t="s">
        <v>36</v>
      </c>
      <c r="M58" s="4" t="s">
        <v>37</v>
      </c>
      <c r="N58" s="8">
        <v>34231.89</v>
      </c>
      <c r="O58" s="4" t="s">
        <v>38</v>
      </c>
      <c r="P58" s="4" t="str">
        <f>IF(COUNTIF('PO Issues Tracker'!$A:$A,B58)&gt;0,"Yes - excluded","")</f>
        <v/>
      </c>
    </row>
    <row r="59" spans="1:16" x14ac:dyDescent="0.3">
      <c r="A59" s="4" t="s">
        <v>86</v>
      </c>
      <c r="B59" s="4" t="s">
        <v>172</v>
      </c>
      <c r="C59" s="4" t="s">
        <v>113</v>
      </c>
      <c r="D59" s="4" t="s">
        <v>50</v>
      </c>
      <c r="E59" s="4" t="s">
        <v>173</v>
      </c>
      <c r="F59" s="7">
        <v>46228</v>
      </c>
      <c r="G59" s="4" t="s">
        <v>8</v>
      </c>
      <c r="H59" s="7">
        <v>46223</v>
      </c>
      <c r="I59" s="4"/>
      <c r="J59" s="4" t="s">
        <v>192</v>
      </c>
      <c r="K59" s="4" t="s">
        <v>195</v>
      </c>
      <c r="L59" s="4" t="s">
        <v>52</v>
      </c>
      <c r="M59" s="4" t="s">
        <v>53</v>
      </c>
      <c r="N59" s="8">
        <v>11094.77</v>
      </c>
      <c r="O59" s="4" t="s">
        <v>54</v>
      </c>
      <c r="P59" s="4" t="str">
        <f>IF(COUNTIF('PO Issues Tracker'!$A:$A,B59)&gt;0,"Yes - excluded","")</f>
        <v/>
      </c>
    </row>
    <row r="60" spans="1:16" x14ac:dyDescent="0.3">
      <c r="A60" s="4" t="s">
        <v>86</v>
      </c>
      <c r="B60" s="4" t="s">
        <v>174</v>
      </c>
      <c r="C60" s="4" t="s">
        <v>94</v>
      </c>
      <c r="D60" s="4" t="s">
        <v>95</v>
      </c>
      <c r="E60" s="4" t="s">
        <v>175</v>
      </c>
      <c r="F60" s="7">
        <v>46228</v>
      </c>
      <c r="G60" s="4" t="s">
        <v>8</v>
      </c>
      <c r="H60" s="7">
        <v>46228</v>
      </c>
      <c r="I60" s="4"/>
      <c r="J60" s="4" t="s">
        <v>185</v>
      </c>
      <c r="K60" s="4" t="s">
        <v>193</v>
      </c>
      <c r="L60" s="4" t="s">
        <v>36</v>
      </c>
      <c r="M60" s="4" t="s">
        <v>37</v>
      </c>
      <c r="N60" s="8">
        <v>41998.01</v>
      </c>
      <c r="O60" s="4" t="s">
        <v>38</v>
      </c>
      <c r="P60" s="4" t="str">
        <f>IF(COUNTIF('PO Issues Tracker'!$A:$A,B60)&gt;0,"Yes - excluded","")</f>
        <v/>
      </c>
    </row>
    <row r="61" spans="1:16" x14ac:dyDescent="0.3">
      <c r="A61" s="4" t="s">
        <v>86</v>
      </c>
      <c r="B61" s="4" t="s">
        <v>176</v>
      </c>
      <c r="C61" s="4" t="s">
        <v>113</v>
      </c>
      <c r="D61" s="4" t="s">
        <v>50</v>
      </c>
      <c r="E61" s="4" t="s">
        <v>177</v>
      </c>
      <c r="F61" s="7">
        <v>46229</v>
      </c>
      <c r="G61" s="4" t="s">
        <v>8</v>
      </c>
      <c r="H61" s="7">
        <v>46229</v>
      </c>
      <c r="I61" s="4"/>
      <c r="J61" s="4" t="s">
        <v>187</v>
      </c>
      <c r="K61" s="4" t="s">
        <v>195</v>
      </c>
      <c r="L61" s="4" t="s">
        <v>52</v>
      </c>
      <c r="M61" s="4" t="s">
        <v>53</v>
      </c>
      <c r="N61" s="8">
        <v>19649</v>
      </c>
      <c r="O61" s="4" t="s">
        <v>54</v>
      </c>
      <c r="P61" s="4" t="str">
        <f>IF(COUNTIF('PO Issues Tracker'!$A:$A,B61)&gt;0,"Yes - excluded","")</f>
        <v/>
      </c>
    </row>
  </sheetData>
  <autoFilter ref="A1:P61" xr:uid="{00000000-0001-0000-0100-000000000000}">
    <filterColumn colId="15">
      <filters blank="1"/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8.6640625" defaultRowHeight="14.4" x14ac:dyDescent="0.3"/>
  <cols>
    <col min="1" max="1" width="14" customWidth="1"/>
    <col min="2" max="2" width="30" customWidth="1"/>
    <col min="3" max="3" width="45" customWidth="1"/>
    <col min="4" max="4" width="16" customWidth="1"/>
  </cols>
  <sheetData>
    <row r="1" spans="1:4" x14ac:dyDescent="0.3">
      <c r="A1" s="6" t="s">
        <v>16</v>
      </c>
      <c r="B1" s="6" t="s">
        <v>17</v>
      </c>
      <c r="C1" s="6" t="s">
        <v>178</v>
      </c>
      <c r="D1" s="6" t="s">
        <v>179</v>
      </c>
    </row>
    <row r="2" spans="1:4" x14ac:dyDescent="0.3">
      <c r="A2" s="4" t="s">
        <v>133</v>
      </c>
      <c r="B2" s="4" t="s">
        <v>56</v>
      </c>
      <c r="C2" s="4" t="s">
        <v>180</v>
      </c>
      <c r="D2" s="7">
        <v>46226</v>
      </c>
    </row>
    <row r="3" spans="1:4" x14ac:dyDescent="0.3">
      <c r="A3" s="4" t="s">
        <v>60</v>
      </c>
      <c r="B3" s="4" t="s">
        <v>49</v>
      </c>
      <c r="C3" s="4" t="s">
        <v>181</v>
      </c>
      <c r="D3" s="7">
        <v>46217</v>
      </c>
    </row>
    <row r="4" spans="1:4" x14ac:dyDescent="0.3">
      <c r="A4" s="4" t="s">
        <v>84</v>
      </c>
      <c r="B4" s="4" t="s">
        <v>75</v>
      </c>
      <c r="C4" s="4" t="s">
        <v>182</v>
      </c>
      <c r="D4" s="7">
        <v>46222</v>
      </c>
    </row>
    <row r="5" spans="1:4" x14ac:dyDescent="0.3">
      <c r="A5" s="4" t="s">
        <v>117</v>
      </c>
      <c r="B5" s="4" t="s">
        <v>113</v>
      </c>
      <c r="C5" s="4" t="s">
        <v>183</v>
      </c>
      <c r="D5" s="7">
        <v>46225</v>
      </c>
    </row>
    <row r="6" spans="1:4" x14ac:dyDescent="0.3">
      <c r="A6" s="4" t="s">
        <v>55</v>
      </c>
      <c r="B6" s="4" t="s">
        <v>56</v>
      </c>
      <c r="C6" s="4" t="s">
        <v>184</v>
      </c>
      <c r="D6" s="7">
        <v>46198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zoomScaleNormal="100" workbookViewId="0">
      <pane ySplit="1" topLeftCell="A2" activePane="bottomLeft" state="frozen"/>
      <selection pane="bottomLeft" activeCell="C23" sqref="C23"/>
    </sheetView>
  </sheetViews>
  <sheetFormatPr defaultColWidth="8.6640625" defaultRowHeight="14.4" x14ac:dyDescent="0.3"/>
  <cols>
    <col min="1" max="1" width="12" customWidth="1"/>
    <col min="2" max="2" width="14" customWidth="1"/>
    <col min="3" max="3" width="30" customWidth="1"/>
    <col min="4" max="4" width="16" customWidth="1"/>
    <col min="5" max="6" width="14" customWidth="1"/>
    <col min="7" max="7" width="15" customWidth="1"/>
    <col min="8" max="8" width="14" customWidth="1"/>
    <col min="9" max="9" width="26" customWidth="1"/>
    <col min="10" max="10" width="20" customWidth="1"/>
    <col min="11" max="11" width="32" customWidth="1"/>
    <col min="12" max="12" width="20" customWidth="1"/>
    <col min="13" max="13" width="30" customWidth="1"/>
    <col min="14" max="14" width="12" customWidth="1"/>
    <col min="15" max="15" width="10" customWidth="1"/>
  </cols>
  <sheetData>
    <row r="1" spans="1:15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</row>
    <row r="2" spans="1:15" x14ac:dyDescent="0.3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7">
        <v>46144</v>
      </c>
      <c r="G2" s="4" t="s">
        <v>8</v>
      </c>
      <c r="H2" s="7">
        <v>46141</v>
      </c>
      <c r="I2" s="4"/>
      <c r="J2" s="4" t="s">
        <v>185</v>
      </c>
      <c r="K2" s="4" t="s">
        <v>193</v>
      </c>
      <c r="L2" s="4" t="s">
        <v>36</v>
      </c>
      <c r="M2" s="4" t="s">
        <v>37</v>
      </c>
      <c r="N2" s="8">
        <v>20264.14</v>
      </c>
      <c r="O2" s="4" t="s">
        <v>38</v>
      </c>
    </row>
    <row r="3" spans="1:15" x14ac:dyDescent="0.3">
      <c r="A3" s="4" t="s">
        <v>31</v>
      </c>
      <c r="B3" s="4" t="s">
        <v>39</v>
      </c>
      <c r="C3" s="4" t="s">
        <v>33</v>
      </c>
      <c r="D3" s="4" t="s">
        <v>34</v>
      </c>
      <c r="E3" s="4" t="s">
        <v>40</v>
      </c>
      <c r="F3" s="7">
        <v>46153</v>
      </c>
      <c r="G3" s="4" t="s">
        <v>8</v>
      </c>
      <c r="H3" s="7">
        <v>46153</v>
      </c>
      <c r="I3" s="4"/>
      <c r="J3" s="4" t="s">
        <v>185</v>
      </c>
      <c r="K3" s="4" t="s">
        <v>193</v>
      </c>
      <c r="L3" s="4" t="s">
        <v>36</v>
      </c>
      <c r="M3" s="4" t="s">
        <v>37</v>
      </c>
      <c r="N3" s="8">
        <v>38408.089999999997</v>
      </c>
      <c r="O3" s="4" t="s">
        <v>38</v>
      </c>
    </row>
    <row r="4" spans="1:15" x14ac:dyDescent="0.3">
      <c r="A4" s="4" t="s">
        <v>31</v>
      </c>
      <c r="B4" s="4" t="s">
        <v>41</v>
      </c>
      <c r="C4" s="4" t="s">
        <v>42</v>
      </c>
      <c r="D4" s="4" t="s">
        <v>43</v>
      </c>
      <c r="E4" s="4" t="s">
        <v>44</v>
      </c>
      <c r="F4" s="7">
        <v>46161</v>
      </c>
      <c r="G4" s="4" t="s">
        <v>7</v>
      </c>
      <c r="H4" s="7">
        <v>46161</v>
      </c>
      <c r="I4" s="4"/>
      <c r="J4" s="4" t="s">
        <v>186</v>
      </c>
      <c r="K4" s="4" t="s">
        <v>194</v>
      </c>
      <c r="L4" s="4" t="s">
        <v>45</v>
      </c>
      <c r="M4" s="4" t="s">
        <v>46</v>
      </c>
      <c r="N4" s="8">
        <v>42573.87</v>
      </c>
      <c r="O4" s="4" t="s">
        <v>47</v>
      </c>
    </row>
    <row r="5" spans="1:15" x14ac:dyDescent="0.3">
      <c r="A5" s="4" t="s">
        <v>31</v>
      </c>
      <c r="B5" s="4" t="s">
        <v>48</v>
      </c>
      <c r="C5" s="4" t="s">
        <v>49</v>
      </c>
      <c r="D5" s="4" t="s">
        <v>50</v>
      </c>
      <c r="E5" s="4" t="s">
        <v>51</v>
      </c>
      <c r="F5" s="7">
        <v>46184</v>
      </c>
      <c r="G5" s="4" t="s">
        <v>7</v>
      </c>
      <c r="H5" s="7">
        <v>46182</v>
      </c>
      <c r="I5" s="4"/>
      <c r="J5" s="4" t="s">
        <v>187</v>
      </c>
      <c r="K5" s="4" t="s">
        <v>195</v>
      </c>
      <c r="L5" s="4" t="s">
        <v>52</v>
      </c>
      <c r="M5" s="4" t="s">
        <v>53</v>
      </c>
      <c r="N5" s="8">
        <v>12241.75</v>
      </c>
      <c r="O5" s="4" t="s">
        <v>54</v>
      </c>
    </row>
    <row r="6" spans="1:15" x14ac:dyDescent="0.3">
      <c r="A6" s="4" t="s">
        <v>59</v>
      </c>
      <c r="B6" s="4" t="s">
        <v>62</v>
      </c>
      <c r="C6" s="4" t="s">
        <v>33</v>
      </c>
      <c r="D6" s="4" t="s">
        <v>34</v>
      </c>
      <c r="E6" s="4" t="s">
        <v>63</v>
      </c>
      <c r="F6" s="7">
        <v>46216</v>
      </c>
      <c r="G6" s="4" t="s">
        <v>7</v>
      </c>
      <c r="H6" s="7">
        <v>46211</v>
      </c>
      <c r="I6" s="4"/>
      <c r="J6" s="4" t="s">
        <v>189</v>
      </c>
      <c r="K6" s="4" t="s">
        <v>193</v>
      </c>
      <c r="L6" s="4" t="s">
        <v>36</v>
      </c>
      <c r="M6" s="4" t="s">
        <v>37</v>
      </c>
      <c r="N6" s="8">
        <v>29529.49</v>
      </c>
      <c r="O6" s="4" t="s">
        <v>38</v>
      </c>
    </row>
    <row r="7" spans="1:15" x14ac:dyDescent="0.3">
      <c r="A7" s="4" t="s">
        <v>59</v>
      </c>
      <c r="B7" s="4" t="s">
        <v>64</v>
      </c>
      <c r="C7" s="4" t="s">
        <v>65</v>
      </c>
      <c r="D7" s="4" t="s">
        <v>66</v>
      </c>
      <c r="E7" s="4" t="s">
        <v>67</v>
      </c>
      <c r="F7" s="7">
        <v>46217</v>
      </c>
      <c r="G7" s="4" t="s">
        <v>7</v>
      </c>
      <c r="H7" s="7">
        <v>46216</v>
      </c>
      <c r="I7" s="4"/>
      <c r="J7" s="4" t="s">
        <v>186</v>
      </c>
      <c r="K7" s="4" t="s">
        <v>194</v>
      </c>
      <c r="L7" s="4" t="s">
        <v>45</v>
      </c>
      <c r="M7" s="4" t="s">
        <v>46</v>
      </c>
      <c r="N7" s="8">
        <v>23406.02</v>
      </c>
      <c r="O7" s="4" t="s">
        <v>47</v>
      </c>
    </row>
    <row r="8" spans="1:15" x14ac:dyDescent="0.3">
      <c r="A8" s="4" t="s">
        <v>59</v>
      </c>
      <c r="B8" s="4" t="s">
        <v>68</v>
      </c>
      <c r="C8" s="4" t="s">
        <v>69</v>
      </c>
      <c r="D8" s="4" t="s">
        <v>70</v>
      </c>
      <c r="E8" s="4" t="s">
        <v>71</v>
      </c>
      <c r="F8" s="7">
        <v>46217</v>
      </c>
      <c r="G8" s="4" t="s">
        <v>7</v>
      </c>
      <c r="H8" s="7">
        <v>46213</v>
      </c>
      <c r="I8" s="4"/>
      <c r="J8" s="4" t="s">
        <v>189</v>
      </c>
      <c r="K8" s="4" t="s">
        <v>193</v>
      </c>
      <c r="L8" s="4" t="s">
        <v>36</v>
      </c>
      <c r="M8" s="4" t="s">
        <v>37</v>
      </c>
      <c r="N8" s="8">
        <v>13688.3</v>
      </c>
      <c r="O8" s="4" t="s">
        <v>38</v>
      </c>
    </row>
    <row r="9" spans="1:15" x14ac:dyDescent="0.3">
      <c r="A9" s="4" t="s">
        <v>59</v>
      </c>
      <c r="B9" s="4" t="s">
        <v>72</v>
      </c>
      <c r="C9" s="4" t="s">
        <v>65</v>
      </c>
      <c r="D9" s="4" t="s">
        <v>66</v>
      </c>
      <c r="E9" s="4" t="s">
        <v>73</v>
      </c>
      <c r="F9" s="7">
        <v>46217</v>
      </c>
      <c r="G9" s="4" t="s">
        <v>8</v>
      </c>
      <c r="H9" s="7">
        <v>46212</v>
      </c>
      <c r="I9" s="4"/>
      <c r="J9" s="4" t="s">
        <v>186</v>
      </c>
      <c r="K9" s="4" t="s">
        <v>194</v>
      </c>
      <c r="L9" s="4" t="s">
        <v>45</v>
      </c>
      <c r="M9" s="4" t="s">
        <v>46</v>
      </c>
      <c r="N9" s="8">
        <v>30282.35</v>
      </c>
      <c r="O9" s="4" t="s">
        <v>47</v>
      </c>
    </row>
    <row r="10" spans="1:15" x14ac:dyDescent="0.3">
      <c r="A10" s="4" t="s">
        <v>59</v>
      </c>
      <c r="B10" s="4" t="s">
        <v>74</v>
      </c>
      <c r="C10" s="4" t="s">
        <v>75</v>
      </c>
      <c r="D10" s="4" t="s">
        <v>76</v>
      </c>
      <c r="E10" s="4" t="s">
        <v>77</v>
      </c>
      <c r="F10" s="7">
        <v>46218</v>
      </c>
      <c r="G10" s="4" t="s">
        <v>8</v>
      </c>
      <c r="H10" s="7">
        <v>46218</v>
      </c>
      <c r="I10" s="4"/>
      <c r="J10" s="4" t="s">
        <v>190</v>
      </c>
      <c r="K10" s="4" t="s">
        <v>193</v>
      </c>
      <c r="L10" s="4" t="s">
        <v>36</v>
      </c>
      <c r="M10" s="4" t="s">
        <v>37</v>
      </c>
      <c r="N10" s="8">
        <v>14139.93</v>
      </c>
      <c r="O10" s="4" t="s">
        <v>38</v>
      </c>
    </row>
    <row r="11" spans="1:15" x14ac:dyDescent="0.3">
      <c r="A11" s="4" t="s">
        <v>59</v>
      </c>
      <c r="B11" s="4" t="s">
        <v>78</v>
      </c>
      <c r="C11" s="4" t="s">
        <v>69</v>
      </c>
      <c r="D11" s="4" t="s">
        <v>70</v>
      </c>
      <c r="E11" s="4" t="s">
        <v>79</v>
      </c>
      <c r="F11" s="7">
        <v>46218</v>
      </c>
      <c r="G11" s="4" t="s">
        <v>7</v>
      </c>
      <c r="H11" s="7">
        <v>46215</v>
      </c>
      <c r="I11" s="4"/>
      <c r="J11" s="4" t="s">
        <v>190</v>
      </c>
      <c r="K11" s="4" t="s">
        <v>193</v>
      </c>
      <c r="L11" s="4" t="s">
        <v>36</v>
      </c>
      <c r="M11" s="4" t="s">
        <v>37</v>
      </c>
      <c r="N11" s="8">
        <v>35722.22</v>
      </c>
      <c r="O11" s="4" t="s">
        <v>38</v>
      </c>
    </row>
    <row r="12" spans="1:15" x14ac:dyDescent="0.3">
      <c r="A12" s="4" t="s">
        <v>59</v>
      </c>
      <c r="B12" s="4" t="s">
        <v>80</v>
      </c>
      <c r="C12" s="4" t="s">
        <v>65</v>
      </c>
      <c r="D12" s="4" t="s">
        <v>66</v>
      </c>
      <c r="E12" s="4" t="s">
        <v>81</v>
      </c>
      <c r="F12" s="7">
        <v>46220</v>
      </c>
      <c r="G12" s="4" t="s">
        <v>8</v>
      </c>
      <c r="H12" s="7">
        <v>46219</v>
      </c>
      <c r="I12" s="4"/>
      <c r="J12" s="4" t="s">
        <v>186</v>
      </c>
      <c r="K12" s="4" t="s">
        <v>194</v>
      </c>
      <c r="L12" s="4" t="s">
        <v>45</v>
      </c>
      <c r="M12" s="4" t="s">
        <v>46</v>
      </c>
      <c r="N12" s="8">
        <v>2278.8200000000002</v>
      </c>
      <c r="O12" s="4" t="s">
        <v>47</v>
      </c>
    </row>
    <row r="13" spans="1:15" x14ac:dyDescent="0.3">
      <c r="A13" s="4" t="s">
        <v>59</v>
      </c>
      <c r="B13" s="4" t="s">
        <v>82</v>
      </c>
      <c r="C13" s="4" t="s">
        <v>65</v>
      </c>
      <c r="D13" s="4" t="s">
        <v>66</v>
      </c>
      <c r="E13" s="4" t="s">
        <v>83</v>
      </c>
      <c r="F13" s="7">
        <v>46220</v>
      </c>
      <c r="G13" s="4" t="s">
        <v>8</v>
      </c>
      <c r="H13" s="7">
        <v>46217</v>
      </c>
      <c r="I13" s="4"/>
      <c r="J13" s="4" t="s">
        <v>186</v>
      </c>
      <c r="K13" s="4" t="s">
        <v>194</v>
      </c>
      <c r="L13" s="4" t="s">
        <v>45</v>
      </c>
      <c r="M13" s="4" t="s">
        <v>46</v>
      </c>
      <c r="N13" s="8">
        <v>14292.06</v>
      </c>
      <c r="O13" s="4" t="s">
        <v>47</v>
      </c>
    </row>
    <row r="14" spans="1:15" x14ac:dyDescent="0.3">
      <c r="A14" s="4" t="s">
        <v>86</v>
      </c>
      <c r="B14" s="4" t="s">
        <v>87</v>
      </c>
      <c r="C14" s="4" t="s">
        <v>69</v>
      </c>
      <c r="D14" s="4" t="s">
        <v>70</v>
      </c>
      <c r="E14" s="4" t="s">
        <v>88</v>
      </c>
      <c r="F14" s="7">
        <v>46222</v>
      </c>
      <c r="G14" s="4" t="s">
        <v>7</v>
      </c>
      <c r="H14" s="7">
        <v>46217</v>
      </c>
      <c r="I14" s="4"/>
      <c r="J14" s="4" t="s">
        <v>185</v>
      </c>
      <c r="K14" s="4" t="s">
        <v>193</v>
      </c>
      <c r="L14" s="4" t="s">
        <v>36</v>
      </c>
      <c r="M14" s="4" t="s">
        <v>37</v>
      </c>
      <c r="N14" s="8">
        <v>4446.84</v>
      </c>
      <c r="O14" s="4" t="s">
        <v>38</v>
      </c>
    </row>
    <row r="15" spans="1:15" x14ac:dyDescent="0.3">
      <c r="A15" s="4" t="s">
        <v>86</v>
      </c>
      <c r="B15" s="4" t="s">
        <v>89</v>
      </c>
      <c r="C15" s="4" t="s">
        <v>75</v>
      </c>
      <c r="D15" s="4" t="s">
        <v>76</v>
      </c>
      <c r="E15" s="4" t="s">
        <v>90</v>
      </c>
      <c r="F15" s="7">
        <v>46222</v>
      </c>
      <c r="G15" s="4" t="s">
        <v>7</v>
      </c>
      <c r="H15" s="7">
        <v>46218</v>
      </c>
      <c r="I15" s="4"/>
      <c r="J15" s="4" t="s">
        <v>191</v>
      </c>
      <c r="K15" s="4" t="s">
        <v>193</v>
      </c>
      <c r="L15" s="4" t="s">
        <v>36</v>
      </c>
      <c r="M15" s="4" t="s">
        <v>37</v>
      </c>
      <c r="N15" s="8">
        <v>37624.519999999997</v>
      </c>
      <c r="O15" s="4" t="s">
        <v>38</v>
      </c>
    </row>
    <row r="16" spans="1:15" x14ac:dyDescent="0.3">
      <c r="A16" s="4" t="s">
        <v>86</v>
      </c>
      <c r="B16" s="4" t="s">
        <v>91</v>
      </c>
      <c r="C16" s="4" t="s">
        <v>69</v>
      </c>
      <c r="D16" s="4" t="s">
        <v>70</v>
      </c>
      <c r="E16" s="4" t="s">
        <v>92</v>
      </c>
      <c r="F16" s="7">
        <v>46222</v>
      </c>
      <c r="G16" s="4" t="s">
        <v>7</v>
      </c>
      <c r="H16" s="7">
        <v>46220</v>
      </c>
      <c r="I16" s="4"/>
      <c r="J16" s="4" t="s">
        <v>190</v>
      </c>
      <c r="K16" s="4" t="s">
        <v>193</v>
      </c>
      <c r="L16" s="4" t="s">
        <v>36</v>
      </c>
      <c r="M16" s="4" t="s">
        <v>37</v>
      </c>
      <c r="N16" s="8">
        <v>29790.97</v>
      </c>
      <c r="O16" s="4" t="s">
        <v>38</v>
      </c>
    </row>
    <row r="17" spans="1:15" x14ac:dyDescent="0.3">
      <c r="A17" s="4" t="s">
        <v>86</v>
      </c>
      <c r="B17" s="4" t="s">
        <v>93</v>
      </c>
      <c r="C17" s="4" t="s">
        <v>94</v>
      </c>
      <c r="D17" s="4" t="s">
        <v>95</v>
      </c>
      <c r="E17" s="4" t="s">
        <v>96</v>
      </c>
      <c r="F17" s="7">
        <v>46222</v>
      </c>
      <c r="G17" s="4" t="s">
        <v>8</v>
      </c>
      <c r="H17" s="7">
        <v>46218</v>
      </c>
      <c r="I17" s="4"/>
      <c r="J17" s="4" t="s">
        <v>191</v>
      </c>
      <c r="K17" s="4" t="s">
        <v>193</v>
      </c>
      <c r="L17" s="4" t="s">
        <v>36</v>
      </c>
      <c r="M17" s="4" t="s">
        <v>37</v>
      </c>
      <c r="N17" s="8">
        <v>43235.839999999997</v>
      </c>
      <c r="O17" s="4" t="s">
        <v>38</v>
      </c>
    </row>
    <row r="18" spans="1:15" x14ac:dyDescent="0.3">
      <c r="A18" s="4" t="s">
        <v>86</v>
      </c>
      <c r="B18" s="4" t="s">
        <v>97</v>
      </c>
      <c r="C18" s="4" t="s">
        <v>33</v>
      </c>
      <c r="D18" s="4" t="s">
        <v>34</v>
      </c>
      <c r="E18" s="4" t="s">
        <v>98</v>
      </c>
      <c r="F18" s="7">
        <v>46223</v>
      </c>
      <c r="G18" s="4" t="s">
        <v>8</v>
      </c>
      <c r="H18" s="7">
        <v>46220</v>
      </c>
      <c r="I18" s="4"/>
      <c r="J18" s="4" t="s">
        <v>191</v>
      </c>
      <c r="K18" s="4" t="s">
        <v>193</v>
      </c>
      <c r="L18" s="4" t="s">
        <v>36</v>
      </c>
      <c r="M18" s="4" t="s">
        <v>37</v>
      </c>
      <c r="N18" s="8">
        <v>43699.11</v>
      </c>
      <c r="O18" s="4" t="s">
        <v>38</v>
      </c>
    </row>
    <row r="19" spans="1:15" x14ac:dyDescent="0.3">
      <c r="A19" s="4" t="s">
        <v>86</v>
      </c>
      <c r="B19" s="4" t="s">
        <v>99</v>
      </c>
      <c r="C19" s="4" t="s">
        <v>75</v>
      </c>
      <c r="D19" s="4" t="s">
        <v>76</v>
      </c>
      <c r="E19" s="4" t="s">
        <v>100</v>
      </c>
      <c r="F19" s="7">
        <v>46223</v>
      </c>
      <c r="G19" s="4" t="s">
        <v>7</v>
      </c>
      <c r="H19" s="7">
        <v>46220</v>
      </c>
      <c r="I19" s="4"/>
      <c r="J19" s="4" t="s">
        <v>189</v>
      </c>
      <c r="K19" s="4" t="s">
        <v>193</v>
      </c>
      <c r="L19" s="4" t="s">
        <v>36</v>
      </c>
      <c r="M19" s="4" t="s">
        <v>37</v>
      </c>
      <c r="N19" s="8">
        <v>7425.38</v>
      </c>
      <c r="O19" s="4" t="s">
        <v>38</v>
      </c>
    </row>
    <row r="20" spans="1:15" x14ac:dyDescent="0.3">
      <c r="A20" s="4" t="s">
        <v>86</v>
      </c>
      <c r="B20" s="4" t="s">
        <v>101</v>
      </c>
      <c r="C20" s="4" t="s">
        <v>94</v>
      </c>
      <c r="D20" s="4" t="s">
        <v>95</v>
      </c>
      <c r="E20" s="4" t="s">
        <v>102</v>
      </c>
      <c r="F20" s="7">
        <v>46223</v>
      </c>
      <c r="G20" s="4" t="s">
        <v>8</v>
      </c>
      <c r="H20" s="7">
        <v>46218</v>
      </c>
      <c r="I20" s="4"/>
      <c r="J20" s="4" t="s">
        <v>191</v>
      </c>
      <c r="K20" s="4" t="s">
        <v>193</v>
      </c>
      <c r="L20" s="4" t="s">
        <v>36</v>
      </c>
      <c r="M20" s="4" t="s">
        <v>37</v>
      </c>
      <c r="N20" s="8">
        <v>9207.58</v>
      </c>
      <c r="O20" s="4" t="s">
        <v>38</v>
      </c>
    </row>
    <row r="21" spans="1:15" x14ac:dyDescent="0.3">
      <c r="A21" s="4" t="s">
        <v>86</v>
      </c>
      <c r="B21" s="4" t="s">
        <v>103</v>
      </c>
      <c r="C21" s="4" t="s">
        <v>75</v>
      </c>
      <c r="D21" s="4" t="s">
        <v>76</v>
      </c>
      <c r="E21" s="4" t="s">
        <v>104</v>
      </c>
      <c r="F21" s="7">
        <v>46223</v>
      </c>
      <c r="G21" s="4" t="s">
        <v>8</v>
      </c>
      <c r="H21" s="7">
        <v>46222</v>
      </c>
      <c r="I21" s="4"/>
      <c r="J21" s="4" t="s">
        <v>190</v>
      </c>
      <c r="K21" s="4" t="s">
        <v>193</v>
      </c>
      <c r="L21" s="4" t="s">
        <v>36</v>
      </c>
      <c r="M21" s="4" t="s">
        <v>37</v>
      </c>
      <c r="N21" s="8">
        <v>41807.24</v>
      </c>
      <c r="O21" s="4" t="s">
        <v>38</v>
      </c>
    </row>
    <row r="22" spans="1:15" x14ac:dyDescent="0.3">
      <c r="A22" s="4" t="s">
        <v>86</v>
      </c>
      <c r="B22" s="4" t="s">
        <v>105</v>
      </c>
      <c r="C22" s="4" t="s">
        <v>49</v>
      </c>
      <c r="D22" s="4" t="s">
        <v>50</v>
      </c>
      <c r="E22" s="4" t="s">
        <v>106</v>
      </c>
      <c r="F22" s="7">
        <v>46223</v>
      </c>
      <c r="G22" s="4" t="s">
        <v>8</v>
      </c>
      <c r="H22" s="7">
        <v>46218</v>
      </c>
      <c r="I22" s="4"/>
      <c r="J22" s="4" t="s">
        <v>187</v>
      </c>
      <c r="K22" s="4" t="s">
        <v>195</v>
      </c>
      <c r="L22" s="4" t="s">
        <v>52</v>
      </c>
      <c r="M22" s="4" t="s">
        <v>53</v>
      </c>
      <c r="N22" s="8">
        <v>5208.07</v>
      </c>
      <c r="O22" s="4" t="s">
        <v>54</v>
      </c>
    </row>
    <row r="23" spans="1:15" x14ac:dyDescent="0.3">
      <c r="A23" s="4" t="s">
        <v>86</v>
      </c>
      <c r="B23" s="4" t="s">
        <v>107</v>
      </c>
      <c r="C23" s="4" t="s">
        <v>56</v>
      </c>
      <c r="D23" s="4" t="s">
        <v>57</v>
      </c>
      <c r="E23" s="4"/>
      <c r="F23" s="7">
        <v>46224</v>
      </c>
      <c r="G23" s="4" t="s">
        <v>7</v>
      </c>
      <c r="H23" s="7">
        <v>46224</v>
      </c>
      <c r="I23" s="4"/>
      <c r="J23" s="4" t="s">
        <v>188</v>
      </c>
      <c r="K23" s="4" t="s">
        <v>194</v>
      </c>
      <c r="L23" s="4" t="s">
        <v>45</v>
      </c>
      <c r="M23" s="4" t="s">
        <v>46</v>
      </c>
      <c r="N23" s="8">
        <v>14209.08</v>
      </c>
      <c r="O23" s="4" t="s">
        <v>47</v>
      </c>
    </row>
    <row r="24" spans="1:15" x14ac:dyDescent="0.3">
      <c r="A24" s="4" t="s">
        <v>86</v>
      </c>
      <c r="B24" s="4" t="s">
        <v>108</v>
      </c>
      <c r="C24" s="4" t="s">
        <v>65</v>
      </c>
      <c r="D24" s="4" t="s">
        <v>66</v>
      </c>
      <c r="E24" s="4" t="s">
        <v>109</v>
      </c>
      <c r="F24" s="7">
        <v>46224</v>
      </c>
      <c r="G24" s="4" t="s">
        <v>8</v>
      </c>
      <c r="H24" s="7">
        <v>46223</v>
      </c>
      <c r="I24" s="4"/>
      <c r="J24" s="4" t="s">
        <v>188</v>
      </c>
      <c r="K24" s="4" t="s">
        <v>194</v>
      </c>
      <c r="L24" s="4" t="s">
        <v>45</v>
      </c>
      <c r="M24" s="4" t="s">
        <v>46</v>
      </c>
      <c r="N24" s="8">
        <v>20659.16</v>
      </c>
      <c r="O24" s="4" t="s">
        <v>47</v>
      </c>
    </row>
    <row r="25" spans="1:15" x14ac:dyDescent="0.3">
      <c r="A25" s="4" t="s">
        <v>86</v>
      </c>
      <c r="B25" s="4" t="s">
        <v>110</v>
      </c>
      <c r="C25" s="4" t="s">
        <v>65</v>
      </c>
      <c r="D25" s="4" t="s">
        <v>66</v>
      </c>
      <c r="E25" s="4" t="s">
        <v>111</v>
      </c>
      <c r="F25" s="7">
        <v>46224</v>
      </c>
      <c r="G25" s="4" t="s">
        <v>7</v>
      </c>
      <c r="H25" s="7">
        <v>46224</v>
      </c>
      <c r="I25" s="4"/>
      <c r="J25" s="4" t="s">
        <v>186</v>
      </c>
      <c r="K25" s="4" t="s">
        <v>194</v>
      </c>
      <c r="L25" s="4" t="s">
        <v>45</v>
      </c>
      <c r="M25" s="4" t="s">
        <v>46</v>
      </c>
      <c r="N25" s="8">
        <v>42922.64</v>
      </c>
      <c r="O25" s="4" t="s">
        <v>47</v>
      </c>
    </row>
    <row r="26" spans="1:15" x14ac:dyDescent="0.3">
      <c r="A26" s="4" t="s">
        <v>86</v>
      </c>
      <c r="B26" s="4" t="s">
        <v>112</v>
      </c>
      <c r="C26" s="4" t="s">
        <v>113</v>
      </c>
      <c r="D26" s="4" t="s">
        <v>50</v>
      </c>
      <c r="E26" s="4" t="s">
        <v>114</v>
      </c>
      <c r="F26" s="7">
        <v>46224</v>
      </c>
      <c r="G26" s="4" t="s">
        <v>7</v>
      </c>
      <c r="H26" s="7">
        <v>46221</v>
      </c>
      <c r="I26" s="4"/>
      <c r="J26" s="4" t="s">
        <v>192</v>
      </c>
      <c r="K26" s="4" t="s">
        <v>195</v>
      </c>
      <c r="L26" s="4" t="s">
        <v>52</v>
      </c>
      <c r="M26" s="4" t="s">
        <v>53</v>
      </c>
      <c r="N26" s="8">
        <v>10790.56</v>
      </c>
      <c r="O26" s="4" t="s">
        <v>54</v>
      </c>
    </row>
    <row r="27" spans="1:15" x14ac:dyDescent="0.3">
      <c r="A27" s="4" t="s">
        <v>86</v>
      </c>
      <c r="B27" s="4" t="s">
        <v>115</v>
      </c>
      <c r="C27" s="4" t="s">
        <v>49</v>
      </c>
      <c r="D27" s="4" t="s">
        <v>50</v>
      </c>
      <c r="E27" s="4" t="s">
        <v>116</v>
      </c>
      <c r="F27" s="7">
        <v>46224</v>
      </c>
      <c r="G27" s="4" t="s">
        <v>8</v>
      </c>
      <c r="H27" s="7">
        <v>46221</v>
      </c>
      <c r="I27" s="4"/>
      <c r="J27" s="4" t="s">
        <v>187</v>
      </c>
      <c r="K27" s="4" t="s">
        <v>195</v>
      </c>
      <c r="L27" s="4" t="s">
        <v>52</v>
      </c>
      <c r="M27" s="4" t="s">
        <v>53</v>
      </c>
      <c r="N27" s="8">
        <v>10126.89</v>
      </c>
      <c r="O27" s="4" t="s">
        <v>54</v>
      </c>
    </row>
    <row r="28" spans="1:15" x14ac:dyDescent="0.3">
      <c r="A28" s="4" t="s">
        <v>86</v>
      </c>
      <c r="B28" s="4" t="s">
        <v>119</v>
      </c>
      <c r="C28" s="4" t="s">
        <v>65</v>
      </c>
      <c r="D28" s="4" t="s">
        <v>66</v>
      </c>
      <c r="E28" s="4" t="s">
        <v>120</v>
      </c>
      <c r="F28" s="7">
        <v>46225</v>
      </c>
      <c r="G28" s="4" t="s">
        <v>7</v>
      </c>
      <c r="H28" s="7">
        <v>46224</v>
      </c>
      <c r="I28" s="4"/>
      <c r="J28" s="4" t="s">
        <v>188</v>
      </c>
      <c r="K28" s="4" t="s">
        <v>194</v>
      </c>
      <c r="L28" s="4" t="s">
        <v>45</v>
      </c>
      <c r="M28" s="4" t="s">
        <v>46</v>
      </c>
      <c r="N28" s="8">
        <v>3930.51</v>
      </c>
      <c r="O28" s="4" t="s">
        <v>47</v>
      </c>
    </row>
    <row r="29" spans="1:15" x14ac:dyDescent="0.3">
      <c r="A29" s="4" t="s">
        <v>86</v>
      </c>
      <c r="B29" s="4" t="s">
        <v>121</v>
      </c>
      <c r="C29" s="4" t="s">
        <v>69</v>
      </c>
      <c r="D29" s="4" t="s">
        <v>70</v>
      </c>
      <c r="E29" s="4" t="s">
        <v>122</v>
      </c>
      <c r="F29" s="7">
        <v>46225</v>
      </c>
      <c r="G29" s="4" t="s">
        <v>7</v>
      </c>
      <c r="H29" s="7">
        <v>46224</v>
      </c>
      <c r="I29" s="4"/>
      <c r="J29" s="4" t="s">
        <v>190</v>
      </c>
      <c r="K29" s="4" t="s">
        <v>193</v>
      </c>
      <c r="L29" s="4" t="s">
        <v>36</v>
      </c>
      <c r="M29" s="4" t="s">
        <v>37</v>
      </c>
      <c r="N29" s="8">
        <v>4191.71</v>
      </c>
      <c r="O29" s="4" t="s">
        <v>38</v>
      </c>
    </row>
    <row r="30" spans="1:15" x14ac:dyDescent="0.3">
      <c r="A30" s="4" t="s">
        <v>86</v>
      </c>
      <c r="B30" s="4" t="s">
        <v>123</v>
      </c>
      <c r="C30" s="4" t="s">
        <v>42</v>
      </c>
      <c r="D30" s="4" t="s">
        <v>43</v>
      </c>
      <c r="E30" s="4" t="s">
        <v>124</v>
      </c>
      <c r="F30" s="7">
        <v>46225</v>
      </c>
      <c r="G30" s="4" t="s">
        <v>8</v>
      </c>
      <c r="H30" s="7">
        <v>46225</v>
      </c>
      <c r="I30" s="4"/>
      <c r="J30" s="4" t="s">
        <v>186</v>
      </c>
      <c r="K30" s="4" t="s">
        <v>194</v>
      </c>
      <c r="L30" s="4" t="s">
        <v>45</v>
      </c>
      <c r="M30" s="4" t="s">
        <v>46</v>
      </c>
      <c r="N30" s="8">
        <v>3564.43</v>
      </c>
      <c r="O30" s="4" t="s">
        <v>47</v>
      </c>
    </row>
    <row r="31" spans="1:15" x14ac:dyDescent="0.3">
      <c r="A31" s="4" t="s">
        <v>86</v>
      </c>
      <c r="B31" s="4" t="s">
        <v>125</v>
      </c>
      <c r="C31" s="4" t="s">
        <v>65</v>
      </c>
      <c r="D31" s="4" t="s">
        <v>66</v>
      </c>
      <c r="E31" s="4" t="s">
        <v>126</v>
      </c>
      <c r="F31" s="7">
        <v>46225</v>
      </c>
      <c r="G31" s="4" t="s">
        <v>8</v>
      </c>
      <c r="H31" s="7">
        <v>46222</v>
      </c>
      <c r="I31" s="4"/>
      <c r="J31" s="4" t="s">
        <v>186</v>
      </c>
      <c r="K31" s="4" t="s">
        <v>194</v>
      </c>
      <c r="L31" s="4" t="s">
        <v>45</v>
      </c>
      <c r="M31" s="4" t="s">
        <v>46</v>
      </c>
      <c r="N31" s="8">
        <v>16000.08</v>
      </c>
      <c r="O31" s="4" t="s">
        <v>47</v>
      </c>
    </row>
    <row r="32" spans="1:15" x14ac:dyDescent="0.3">
      <c r="A32" s="4" t="s">
        <v>86</v>
      </c>
      <c r="B32" s="4" t="s">
        <v>127</v>
      </c>
      <c r="C32" s="4" t="s">
        <v>113</v>
      </c>
      <c r="D32" s="4" t="s">
        <v>50</v>
      </c>
      <c r="E32" s="4" t="s">
        <v>128</v>
      </c>
      <c r="F32" s="7">
        <v>46225</v>
      </c>
      <c r="G32" s="4" t="s">
        <v>8</v>
      </c>
      <c r="H32" s="7">
        <v>46220</v>
      </c>
      <c r="I32" s="4"/>
      <c r="J32" s="4" t="s">
        <v>192</v>
      </c>
      <c r="K32" s="4" t="s">
        <v>195</v>
      </c>
      <c r="L32" s="4" t="s">
        <v>52</v>
      </c>
      <c r="M32" s="4" t="s">
        <v>53</v>
      </c>
      <c r="N32" s="8">
        <v>16302.6</v>
      </c>
      <c r="O32" s="4" t="s">
        <v>54</v>
      </c>
    </row>
    <row r="33" spans="1:15" x14ac:dyDescent="0.3">
      <c r="A33" s="4" t="s">
        <v>86</v>
      </c>
      <c r="B33" s="4" t="s">
        <v>129</v>
      </c>
      <c r="C33" s="4" t="s">
        <v>113</v>
      </c>
      <c r="D33" s="4" t="s">
        <v>50</v>
      </c>
      <c r="E33" s="4" t="s">
        <v>130</v>
      </c>
      <c r="F33" s="7">
        <v>46225</v>
      </c>
      <c r="G33" s="4" t="s">
        <v>8</v>
      </c>
      <c r="H33" s="7">
        <v>46224</v>
      </c>
      <c r="I33" s="4"/>
      <c r="J33" s="4" t="s">
        <v>192</v>
      </c>
      <c r="K33" s="4" t="s">
        <v>195</v>
      </c>
      <c r="L33" s="4" t="s">
        <v>52</v>
      </c>
      <c r="M33" s="4" t="s">
        <v>53</v>
      </c>
      <c r="N33" s="8">
        <v>2761.87</v>
      </c>
      <c r="O33" s="4" t="s">
        <v>54</v>
      </c>
    </row>
    <row r="34" spans="1:15" x14ac:dyDescent="0.3">
      <c r="A34" s="4" t="s">
        <v>86</v>
      </c>
      <c r="B34" s="4" t="s">
        <v>131</v>
      </c>
      <c r="C34" s="4" t="s">
        <v>75</v>
      </c>
      <c r="D34" s="4" t="s">
        <v>76</v>
      </c>
      <c r="E34" s="4" t="s">
        <v>132</v>
      </c>
      <c r="F34" s="7">
        <v>46225</v>
      </c>
      <c r="G34" s="4" t="s">
        <v>7</v>
      </c>
      <c r="H34" s="7">
        <v>46224</v>
      </c>
      <c r="I34" s="4"/>
      <c r="J34" s="4" t="s">
        <v>190</v>
      </c>
      <c r="K34" s="4" t="s">
        <v>193</v>
      </c>
      <c r="L34" s="4" t="s">
        <v>36</v>
      </c>
      <c r="M34" s="4" t="s">
        <v>37</v>
      </c>
      <c r="N34" s="8">
        <v>27533.27</v>
      </c>
      <c r="O34" s="4" t="s">
        <v>38</v>
      </c>
    </row>
    <row r="35" spans="1:15" x14ac:dyDescent="0.3">
      <c r="A35" s="4" t="s">
        <v>86</v>
      </c>
      <c r="B35" s="4" t="s">
        <v>135</v>
      </c>
      <c r="C35" s="4" t="s">
        <v>56</v>
      </c>
      <c r="D35" s="4" t="s">
        <v>57</v>
      </c>
      <c r="E35" s="4" t="s">
        <v>136</v>
      </c>
      <c r="F35" s="7">
        <v>46225</v>
      </c>
      <c r="G35" s="4" t="s">
        <v>8</v>
      </c>
      <c r="H35" s="7">
        <v>46223</v>
      </c>
      <c r="I35" s="4"/>
      <c r="J35" s="4" t="s">
        <v>188</v>
      </c>
      <c r="K35" s="4" t="s">
        <v>194</v>
      </c>
      <c r="L35" s="4" t="s">
        <v>45</v>
      </c>
      <c r="M35" s="4" t="s">
        <v>46</v>
      </c>
      <c r="N35" s="8">
        <v>30943.62</v>
      </c>
      <c r="O35" s="4" t="s">
        <v>47</v>
      </c>
    </row>
    <row r="36" spans="1:15" x14ac:dyDescent="0.3">
      <c r="A36" s="4" t="s">
        <v>86</v>
      </c>
      <c r="B36" s="4" t="s">
        <v>137</v>
      </c>
      <c r="C36" s="4" t="s">
        <v>56</v>
      </c>
      <c r="D36" s="4" t="s">
        <v>57</v>
      </c>
      <c r="E36" s="4" t="s">
        <v>138</v>
      </c>
      <c r="F36" s="7">
        <v>46225</v>
      </c>
      <c r="G36" s="4" t="s">
        <v>7</v>
      </c>
      <c r="H36" s="7">
        <v>46225</v>
      </c>
      <c r="I36" s="4"/>
      <c r="J36" s="4" t="s">
        <v>186</v>
      </c>
      <c r="K36" s="4" t="s">
        <v>194</v>
      </c>
      <c r="L36" s="4" t="s">
        <v>45</v>
      </c>
      <c r="M36" s="4" t="s">
        <v>46</v>
      </c>
      <c r="N36" s="8">
        <v>2003.02</v>
      </c>
      <c r="O36" s="4" t="s">
        <v>47</v>
      </c>
    </row>
    <row r="37" spans="1:15" x14ac:dyDescent="0.3">
      <c r="A37" s="4" t="s">
        <v>86</v>
      </c>
      <c r="B37" s="4" t="s">
        <v>139</v>
      </c>
      <c r="C37" s="4" t="s">
        <v>56</v>
      </c>
      <c r="D37" s="4" t="s">
        <v>57</v>
      </c>
      <c r="E37" s="4" t="s">
        <v>140</v>
      </c>
      <c r="F37" s="7">
        <v>46226</v>
      </c>
      <c r="G37" s="4" t="s">
        <v>8</v>
      </c>
      <c r="H37" s="7">
        <v>46223</v>
      </c>
      <c r="I37" s="4"/>
      <c r="J37" s="4" t="s">
        <v>186</v>
      </c>
      <c r="K37" s="4" t="s">
        <v>194</v>
      </c>
      <c r="L37" s="4" t="s">
        <v>45</v>
      </c>
      <c r="M37" s="4" t="s">
        <v>46</v>
      </c>
      <c r="N37" s="8">
        <v>34151.160000000003</v>
      </c>
      <c r="O37" s="4" t="s">
        <v>47</v>
      </c>
    </row>
    <row r="38" spans="1:15" x14ac:dyDescent="0.3">
      <c r="A38" s="4" t="s">
        <v>86</v>
      </c>
      <c r="B38" s="4" t="s">
        <v>141</v>
      </c>
      <c r="C38" s="4" t="s">
        <v>33</v>
      </c>
      <c r="D38" s="4" t="s">
        <v>34</v>
      </c>
      <c r="E38" s="4" t="s">
        <v>142</v>
      </c>
      <c r="F38" s="7">
        <v>46226</v>
      </c>
      <c r="G38" s="4" t="s">
        <v>7</v>
      </c>
      <c r="H38" s="7">
        <v>46221</v>
      </c>
      <c r="I38" s="4"/>
      <c r="J38" s="4" t="s">
        <v>190</v>
      </c>
      <c r="K38" s="4" t="s">
        <v>193</v>
      </c>
      <c r="L38" s="4" t="s">
        <v>36</v>
      </c>
      <c r="M38" s="4" t="s">
        <v>37</v>
      </c>
      <c r="N38" s="8">
        <v>44335.26</v>
      </c>
      <c r="O38" s="4" t="s">
        <v>38</v>
      </c>
    </row>
    <row r="39" spans="1:15" x14ac:dyDescent="0.3">
      <c r="A39" s="4" t="s">
        <v>86</v>
      </c>
      <c r="B39" s="4" t="s">
        <v>143</v>
      </c>
      <c r="C39" s="4" t="s">
        <v>94</v>
      </c>
      <c r="D39" s="4" t="s">
        <v>95</v>
      </c>
      <c r="E39" s="4" t="s">
        <v>144</v>
      </c>
      <c r="F39" s="7">
        <v>46226</v>
      </c>
      <c r="G39" s="4" t="s">
        <v>7</v>
      </c>
      <c r="H39" s="7">
        <v>46226</v>
      </c>
      <c r="I39" s="4"/>
      <c r="J39" s="4" t="s">
        <v>189</v>
      </c>
      <c r="K39" s="4" t="s">
        <v>193</v>
      </c>
      <c r="L39" s="4" t="s">
        <v>36</v>
      </c>
      <c r="M39" s="4" t="s">
        <v>37</v>
      </c>
      <c r="N39" s="8">
        <v>3051.67</v>
      </c>
      <c r="O39" s="4" t="s">
        <v>38</v>
      </c>
    </row>
    <row r="40" spans="1:15" x14ac:dyDescent="0.3">
      <c r="A40" s="4" t="s">
        <v>86</v>
      </c>
      <c r="B40" s="4" t="s">
        <v>145</v>
      </c>
      <c r="C40" s="4" t="s">
        <v>42</v>
      </c>
      <c r="D40" s="4" t="s">
        <v>43</v>
      </c>
      <c r="E40" s="4" t="s">
        <v>146</v>
      </c>
      <c r="F40" s="7">
        <v>46226</v>
      </c>
      <c r="G40" s="4" t="s">
        <v>8</v>
      </c>
      <c r="H40" s="7">
        <v>46224</v>
      </c>
      <c r="I40" s="4"/>
      <c r="J40" s="4" t="s">
        <v>188</v>
      </c>
      <c r="K40" s="4" t="s">
        <v>194</v>
      </c>
      <c r="L40" s="4" t="s">
        <v>45</v>
      </c>
      <c r="M40" s="4" t="s">
        <v>46</v>
      </c>
      <c r="N40" s="8">
        <v>32556.400000000001</v>
      </c>
      <c r="O40" s="4" t="s">
        <v>47</v>
      </c>
    </row>
    <row r="41" spans="1:15" x14ac:dyDescent="0.3">
      <c r="A41" s="4" t="s">
        <v>86</v>
      </c>
      <c r="B41" s="4" t="s">
        <v>147</v>
      </c>
      <c r="C41" s="4" t="s">
        <v>33</v>
      </c>
      <c r="D41" s="4" t="s">
        <v>34</v>
      </c>
      <c r="E41" s="4" t="s">
        <v>148</v>
      </c>
      <c r="F41" s="7">
        <v>46226</v>
      </c>
      <c r="G41" s="4" t="s">
        <v>8</v>
      </c>
      <c r="H41" s="7">
        <v>46223</v>
      </c>
      <c r="I41" s="4"/>
      <c r="J41" s="4" t="s">
        <v>185</v>
      </c>
      <c r="K41" s="4" t="s">
        <v>193</v>
      </c>
      <c r="L41" s="4" t="s">
        <v>36</v>
      </c>
      <c r="M41" s="4" t="s">
        <v>37</v>
      </c>
      <c r="N41" s="8">
        <v>29661.040000000001</v>
      </c>
      <c r="O41" s="4" t="s">
        <v>38</v>
      </c>
    </row>
    <row r="42" spans="1:15" x14ac:dyDescent="0.3">
      <c r="A42" s="4" t="s">
        <v>86</v>
      </c>
      <c r="B42" s="4" t="s">
        <v>149</v>
      </c>
      <c r="C42" s="4" t="s">
        <v>42</v>
      </c>
      <c r="D42" s="4" t="s">
        <v>43</v>
      </c>
      <c r="E42" s="4" t="s">
        <v>150</v>
      </c>
      <c r="F42" s="7">
        <v>46226</v>
      </c>
      <c r="G42" s="4" t="s">
        <v>7</v>
      </c>
      <c r="H42" s="7">
        <v>46225</v>
      </c>
      <c r="I42" s="4"/>
      <c r="J42" s="4" t="s">
        <v>188</v>
      </c>
      <c r="K42" s="4" t="s">
        <v>194</v>
      </c>
      <c r="L42" s="4" t="s">
        <v>45</v>
      </c>
      <c r="M42" s="4" t="s">
        <v>46</v>
      </c>
      <c r="N42" s="8">
        <v>8273.2900000000009</v>
      </c>
      <c r="O42" s="4" t="s">
        <v>47</v>
      </c>
    </row>
    <row r="43" spans="1:15" x14ac:dyDescent="0.3">
      <c r="A43" s="4" t="s">
        <v>86</v>
      </c>
      <c r="B43" s="4" t="s">
        <v>151</v>
      </c>
      <c r="C43" s="4" t="s">
        <v>42</v>
      </c>
      <c r="D43" s="4" t="s">
        <v>43</v>
      </c>
      <c r="E43" s="4" t="s">
        <v>152</v>
      </c>
      <c r="F43" s="7">
        <v>46226</v>
      </c>
      <c r="G43" s="4" t="s">
        <v>7</v>
      </c>
      <c r="H43" s="7">
        <v>46221</v>
      </c>
      <c r="I43" s="4"/>
      <c r="J43" s="4" t="s">
        <v>188</v>
      </c>
      <c r="K43" s="4" t="s">
        <v>194</v>
      </c>
      <c r="L43" s="4" t="s">
        <v>45</v>
      </c>
      <c r="M43" s="4" t="s">
        <v>46</v>
      </c>
      <c r="N43" s="8">
        <v>43823.19</v>
      </c>
      <c r="O43" s="4" t="s">
        <v>47</v>
      </c>
    </row>
    <row r="44" spans="1:15" x14ac:dyDescent="0.3">
      <c r="A44" s="4" t="s">
        <v>86</v>
      </c>
      <c r="B44" s="4" t="s">
        <v>153</v>
      </c>
      <c r="C44" s="4" t="s">
        <v>42</v>
      </c>
      <c r="D44" s="4" t="s">
        <v>43</v>
      </c>
      <c r="E44" s="4" t="s">
        <v>154</v>
      </c>
      <c r="F44" s="7">
        <v>46226</v>
      </c>
      <c r="G44" s="4" t="s">
        <v>7</v>
      </c>
      <c r="H44" s="7">
        <v>46225</v>
      </c>
      <c r="I44" s="4"/>
      <c r="J44" s="4" t="s">
        <v>186</v>
      </c>
      <c r="K44" s="4" t="s">
        <v>194</v>
      </c>
      <c r="L44" s="4" t="s">
        <v>45</v>
      </c>
      <c r="M44" s="4" t="s">
        <v>46</v>
      </c>
      <c r="N44" s="8">
        <v>12551.57</v>
      </c>
      <c r="O44" s="4" t="s">
        <v>47</v>
      </c>
    </row>
    <row r="45" spans="1:15" x14ac:dyDescent="0.3">
      <c r="A45" s="4" t="s">
        <v>86</v>
      </c>
      <c r="B45" s="4" t="s">
        <v>155</v>
      </c>
      <c r="C45" s="4" t="s">
        <v>49</v>
      </c>
      <c r="D45" s="4" t="s">
        <v>50</v>
      </c>
      <c r="E45" s="4" t="s">
        <v>156</v>
      </c>
      <c r="F45" s="7">
        <v>46227</v>
      </c>
      <c r="G45" s="4" t="s">
        <v>8</v>
      </c>
      <c r="H45" s="7">
        <v>46223</v>
      </c>
      <c r="I45" s="4"/>
      <c r="J45" s="4" t="s">
        <v>192</v>
      </c>
      <c r="K45" s="4" t="s">
        <v>195</v>
      </c>
      <c r="L45" s="4" t="s">
        <v>52</v>
      </c>
      <c r="M45" s="4" t="s">
        <v>53</v>
      </c>
      <c r="N45" s="8">
        <v>12162.25</v>
      </c>
      <c r="O45" s="4" t="s">
        <v>54</v>
      </c>
    </row>
    <row r="46" spans="1:15" x14ac:dyDescent="0.3">
      <c r="A46" s="4" t="s">
        <v>86</v>
      </c>
      <c r="B46" s="4" t="s">
        <v>157</v>
      </c>
      <c r="C46" s="4" t="s">
        <v>113</v>
      </c>
      <c r="D46" s="4" t="s">
        <v>50</v>
      </c>
      <c r="E46" s="4" t="s">
        <v>158</v>
      </c>
      <c r="F46" s="7">
        <v>46227</v>
      </c>
      <c r="G46" s="4" t="s">
        <v>8</v>
      </c>
      <c r="H46" s="7">
        <v>46225</v>
      </c>
      <c r="I46" s="4"/>
      <c r="J46" s="4" t="s">
        <v>187</v>
      </c>
      <c r="K46" s="4" t="s">
        <v>195</v>
      </c>
      <c r="L46" s="4" t="s">
        <v>52</v>
      </c>
      <c r="M46" s="4" t="s">
        <v>53</v>
      </c>
      <c r="N46" s="8">
        <v>41802.53</v>
      </c>
      <c r="O46" s="4" t="s">
        <v>54</v>
      </c>
    </row>
    <row r="47" spans="1:15" x14ac:dyDescent="0.3">
      <c r="A47" s="4" t="s">
        <v>86</v>
      </c>
      <c r="B47" s="4" t="s">
        <v>159</v>
      </c>
      <c r="C47" s="4" t="s">
        <v>113</v>
      </c>
      <c r="D47" s="4" t="s">
        <v>50</v>
      </c>
      <c r="E47" s="4" t="s">
        <v>160</v>
      </c>
      <c r="F47" s="7">
        <v>46227</v>
      </c>
      <c r="G47" s="4" t="s">
        <v>7</v>
      </c>
      <c r="H47" s="7">
        <v>46222</v>
      </c>
      <c r="I47" s="4"/>
      <c r="J47" s="4" t="s">
        <v>187</v>
      </c>
      <c r="K47" s="4" t="s">
        <v>195</v>
      </c>
      <c r="L47" s="4" t="s">
        <v>52</v>
      </c>
      <c r="M47" s="4" t="s">
        <v>53</v>
      </c>
      <c r="N47" s="8">
        <v>454.94</v>
      </c>
      <c r="O47" s="4" t="s">
        <v>54</v>
      </c>
    </row>
    <row r="48" spans="1:15" x14ac:dyDescent="0.3">
      <c r="A48" s="4" t="s">
        <v>86</v>
      </c>
      <c r="B48" s="4" t="s">
        <v>161</v>
      </c>
      <c r="C48" s="4" t="s">
        <v>75</v>
      </c>
      <c r="D48" s="4" t="s">
        <v>76</v>
      </c>
      <c r="E48" s="4" t="s">
        <v>162</v>
      </c>
      <c r="F48" s="7">
        <v>46227</v>
      </c>
      <c r="G48" s="4" t="s">
        <v>7</v>
      </c>
      <c r="H48" s="7">
        <v>46224</v>
      </c>
      <c r="I48" s="4"/>
      <c r="J48" s="4" t="s">
        <v>189</v>
      </c>
      <c r="K48" s="4" t="s">
        <v>193</v>
      </c>
      <c r="L48" s="4" t="s">
        <v>36</v>
      </c>
      <c r="M48" s="4" t="s">
        <v>37</v>
      </c>
      <c r="N48" s="8">
        <v>35211.74</v>
      </c>
      <c r="O48" s="4" t="s">
        <v>38</v>
      </c>
    </row>
    <row r="49" spans="1:15" x14ac:dyDescent="0.3">
      <c r="A49" s="4" t="s">
        <v>86</v>
      </c>
      <c r="B49" s="4" t="s">
        <v>163</v>
      </c>
      <c r="C49" s="4" t="s">
        <v>75</v>
      </c>
      <c r="D49" s="4" t="s">
        <v>76</v>
      </c>
      <c r="E49" s="4" t="s">
        <v>164</v>
      </c>
      <c r="F49" s="7">
        <v>46227</v>
      </c>
      <c r="G49" s="4" t="s">
        <v>7</v>
      </c>
      <c r="H49" s="7">
        <v>46222</v>
      </c>
      <c r="I49" s="4"/>
      <c r="J49" s="4" t="s">
        <v>190</v>
      </c>
      <c r="K49" s="4" t="s">
        <v>193</v>
      </c>
      <c r="L49" s="4" t="s">
        <v>36</v>
      </c>
      <c r="M49" s="4" t="s">
        <v>37</v>
      </c>
      <c r="N49" s="8">
        <v>10025.07</v>
      </c>
      <c r="O49" s="4" t="s">
        <v>38</v>
      </c>
    </row>
    <row r="50" spans="1:15" x14ac:dyDescent="0.3">
      <c r="A50" s="4" t="s">
        <v>86</v>
      </c>
      <c r="B50" s="4" t="s">
        <v>165</v>
      </c>
      <c r="C50" s="4" t="s">
        <v>94</v>
      </c>
      <c r="D50" s="4" t="s">
        <v>95</v>
      </c>
      <c r="E50" s="4" t="s">
        <v>166</v>
      </c>
      <c r="F50" s="7">
        <v>46228</v>
      </c>
      <c r="G50" s="4" t="s">
        <v>7</v>
      </c>
      <c r="H50" s="7">
        <v>46227</v>
      </c>
      <c r="I50" s="4"/>
      <c r="J50" s="4" t="s">
        <v>191</v>
      </c>
      <c r="K50" s="4" t="s">
        <v>193</v>
      </c>
      <c r="L50" s="4" t="s">
        <v>36</v>
      </c>
      <c r="M50" s="4" t="s">
        <v>37</v>
      </c>
      <c r="N50" s="8">
        <v>8963.7199999999993</v>
      </c>
      <c r="O50" s="4" t="s">
        <v>38</v>
      </c>
    </row>
    <row r="51" spans="1:15" x14ac:dyDescent="0.3">
      <c r="A51" s="4" t="s">
        <v>86</v>
      </c>
      <c r="B51" s="4" t="s">
        <v>167</v>
      </c>
      <c r="C51" s="4" t="s">
        <v>56</v>
      </c>
      <c r="D51" s="4" t="s">
        <v>57</v>
      </c>
      <c r="E51" s="4" t="s">
        <v>168</v>
      </c>
      <c r="F51" s="7">
        <v>46228</v>
      </c>
      <c r="G51" s="4" t="s">
        <v>8</v>
      </c>
      <c r="H51" s="7">
        <v>46228</v>
      </c>
      <c r="I51" s="4"/>
      <c r="J51" s="4" t="s">
        <v>186</v>
      </c>
      <c r="K51" s="4" t="s">
        <v>194</v>
      </c>
      <c r="L51" s="4" t="s">
        <v>45</v>
      </c>
      <c r="M51" s="4" t="s">
        <v>46</v>
      </c>
      <c r="N51" s="8">
        <v>35647.730000000003</v>
      </c>
      <c r="O51" s="4" t="s">
        <v>47</v>
      </c>
    </row>
    <row r="52" spans="1:15" x14ac:dyDescent="0.3">
      <c r="A52" s="4" t="s">
        <v>86</v>
      </c>
      <c r="B52" s="4" t="s">
        <v>169</v>
      </c>
      <c r="C52" s="4" t="s">
        <v>56</v>
      </c>
      <c r="D52" s="4" t="s">
        <v>57</v>
      </c>
      <c r="E52" s="4" t="s">
        <v>170</v>
      </c>
      <c r="F52" s="7">
        <v>46228</v>
      </c>
      <c r="G52" s="4" t="s">
        <v>7</v>
      </c>
      <c r="H52" s="7">
        <v>46223</v>
      </c>
      <c r="I52" s="4"/>
      <c r="J52" s="4" t="s">
        <v>188</v>
      </c>
      <c r="K52" s="4" t="s">
        <v>194</v>
      </c>
      <c r="L52" s="4" t="s">
        <v>45</v>
      </c>
      <c r="M52" s="4" t="s">
        <v>46</v>
      </c>
      <c r="N52" s="8">
        <v>8967.02</v>
      </c>
      <c r="O52" s="4" t="s">
        <v>47</v>
      </c>
    </row>
    <row r="53" spans="1:15" x14ac:dyDescent="0.3">
      <c r="A53" s="4" t="s">
        <v>86</v>
      </c>
      <c r="B53" s="4" t="s">
        <v>171</v>
      </c>
      <c r="C53" s="4" t="s">
        <v>33</v>
      </c>
      <c r="D53" s="4" t="s">
        <v>34</v>
      </c>
      <c r="E53" s="4"/>
      <c r="F53" s="7">
        <v>46228</v>
      </c>
      <c r="G53" s="4" t="s">
        <v>7</v>
      </c>
      <c r="H53" s="7">
        <v>46223</v>
      </c>
      <c r="I53" s="4"/>
      <c r="J53" s="4" t="s">
        <v>191</v>
      </c>
      <c r="K53" s="4" t="s">
        <v>193</v>
      </c>
      <c r="L53" s="4" t="s">
        <v>36</v>
      </c>
      <c r="M53" s="4" t="s">
        <v>37</v>
      </c>
      <c r="N53" s="8">
        <v>34231.89</v>
      </c>
      <c r="O53" s="4" t="s">
        <v>38</v>
      </c>
    </row>
    <row r="54" spans="1:15" x14ac:dyDescent="0.3">
      <c r="A54" s="4" t="s">
        <v>86</v>
      </c>
      <c r="B54" s="4" t="s">
        <v>172</v>
      </c>
      <c r="C54" s="4" t="s">
        <v>113</v>
      </c>
      <c r="D54" s="4" t="s">
        <v>50</v>
      </c>
      <c r="E54" s="4" t="s">
        <v>173</v>
      </c>
      <c r="F54" s="7">
        <v>46228</v>
      </c>
      <c r="G54" s="4" t="s">
        <v>8</v>
      </c>
      <c r="H54" s="7">
        <v>46223</v>
      </c>
      <c r="I54" s="4"/>
      <c r="J54" s="4" t="s">
        <v>192</v>
      </c>
      <c r="K54" s="4" t="s">
        <v>195</v>
      </c>
      <c r="L54" s="4" t="s">
        <v>52</v>
      </c>
      <c r="M54" s="4" t="s">
        <v>53</v>
      </c>
      <c r="N54" s="8">
        <v>11094.77</v>
      </c>
      <c r="O54" s="4" t="s">
        <v>54</v>
      </c>
    </row>
    <row r="55" spans="1:15" x14ac:dyDescent="0.3">
      <c r="A55" s="4" t="s">
        <v>86</v>
      </c>
      <c r="B55" s="4" t="s">
        <v>174</v>
      </c>
      <c r="C55" s="4" t="s">
        <v>94</v>
      </c>
      <c r="D55" s="4" t="s">
        <v>95</v>
      </c>
      <c r="E55" s="4" t="s">
        <v>175</v>
      </c>
      <c r="F55" s="7">
        <v>46228</v>
      </c>
      <c r="G55" s="4" t="s">
        <v>8</v>
      </c>
      <c r="H55" s="7">
        <v>46228</v>
      </c>
      <c r="I55" s="4"/>
      <c r="J55" s="4" t="s">
        <v>185</v>
      </c>
      <c r="K55" s="4" t="s">
        <v>193</v>
      </c>
      <c r="L55" s="4" t="s">
        <v>36</v>
      </c>
      <c r="M55" s="4" t="s">
        <v>37</v>
      </c>
      <c r="N55" s="8">
        <v>41998.01</v>
      </c>
      <c r="O55" s="4" t="s">
        <v>38</v>
      </c>
    </row>
    <row r="56" spans="1:15" x14ac:dyDescent="0.3">
      <c r="A56" s="4" t="s">
        <v>86</v>
      </c>
      <c r="B56" s="4" t="s">
        <v>176</v>
      </c>
      <c r="C56" s="4" t="s">
        <v>113</v>
      </c>
      <c r="D56" s="4" t="s">
        <v>50</v>
      </c>
      <c r="E56" s="4" t="s">
        <v>177</v>
      </c>
      <c r="F56" s="7">
        <v>46229</v>
      </c>
      <c r="G56" s="4" t="s">
        <v>8</v>
      </c>
      <c r="H56" s="7">
        <v>46229</v>
      </c>
      <c r="I56" s="4"/>
      <c r="J56" s="4" t="s">
        <v>187</v>
      </c>
      <c r="K56" s="4" t="s">
        <v>195</v>
      </c>
      <c r="L56" s="4" t="s">
        <v>52</v>
      </c>
      <c r="M56" s="4" t="s">
        <v>53</v>
      </c>
      <c r="N56" s="8">
        <v>19649</v>
      </c>
      <c r="O56" s="4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Invoices Received (Raw)</vt:lpstr>
      <vt:lpstr>PO Issues Tracker</vt:lpstr>
      <vt:lpstr>Priority 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 Torres</cp:lastModifiedBy>
  <cp:revision>0</cp:revision>
  <dcterms:created xsi:type="dcterms:W3CDTF">2026-07-26T17:46:41Z</dcterms:created>
  <dcterms:modified xsi:type="dcterms:W3CDTF">2026-07-26T18:16:38Z</dcterms:modified>
  <dc:language>en-US</dc:language>
</cp:coreProperties>
</file>